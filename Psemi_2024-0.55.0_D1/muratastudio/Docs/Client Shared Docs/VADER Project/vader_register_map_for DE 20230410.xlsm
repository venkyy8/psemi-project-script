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5540" windowHeight="4776" activeTab="3"/>
  </bookViews>
  <sheets>
    <sheet name="config" sheetId="2434" r:id="rId1"/>
    <sheet name="OTP Map" sheetId="2431" r:id="rId2"/>
    <sheet name="For DE" sheetId="2433" r:id="rId3"/>
    <sheet name="Summary" sheetId="2430" r:id="rId4"/>
    <sheet name="Instructions" sheetId="362" r:id="rId5"/>
    <sheet name="OTP" sheetId="4" r:id="rId6"/>
    <sheet name="Address Map" sheetId="2106" r:id="rId7"/>
    <sheet name="Registers" sheetId="1" r:id="rId8"/>
    <sheet name="Volatile" sheetId="2" r:id="rId9"/>
    <sheet name="Shadow" sheetId="3" r:id="rId10"/>
    <sheet name="Digital Test Mux" sheetId="2093" r:id="rId11"/>
    <sheet name="Constants" sheetId="2097" r:id="rId12"/>
    <sheet name="Version" sheetId="1692" r:id="rId13"/>
  </sheets>
  <externalReferences>
    <externalReference r:id="rId14"/>
    <externalReference r:id="rId15"/>
  </externalReferences>
  <definedNames>
    <definedName name="AccessTypes" localSheetId="0">[1]Constants!$B$3:$B$25</definedName>
    <definedName name="AccessTypes">Constants!$B$3:$B$25</definedName>
    <definedName name="PageBits">OTP!$C$8</definedName>
    <definedName name="PageCount" comment="Available whole pages in OTP array">OTP!$C$10</definedName>
    <definedName name="regmap_csv_path">Instructions!$O$10</definedName>
    <definedName name="ShadowBits" localSheetId="0">[2]OTP!$C$9</definedName>
    <definedName name="ShadowBits">OTP!$C$9</definedName>
    <definedName name="tmux_csv_path">Instructions!$O$22</definedName>
  </definedNames>
  <calcPr calcId="144525"/>
</workbook>
</file>

<file path=xl/comments1.xml><?xml version="1.0" encoding="utf-8"?>
<comments xmlns="http://schemas.openxmlformats.org/spreadsheetml/2006/main">
  <authors>
    <author>Robert Macomber</author>
  </authors>
  <commentList>
    <comment ref="H4" authorId="0">
      <text>
        <r>
          <rPr>
            <sz val="9"/>
            <rFont val="Tahoma"/>
            <charset val="134"/>
          </rPr>
          <t>Dual-bit error was detected when loading shadow registers from OTP.</t>
        </r>
      </text>
    </comment>
    <comment ref="I4" authorId="0">
      <text>
        <r>
          <rPr>
            <sz val="9"/>
            <rFont val="Tahoma"/>
            <charset val="134"/>
          </rPr>
          <t>Single-bit error was corrected when loading shadow registers from OTP.</t>
        </r>
      </text>
    </comment>
    <comment ref="J4" authorId="0">
      <text>
        <r>
          <rPr>
            <sz val="9"/>
            <rFont val="Tahoma"/>
            <charset val="134"/>
          </rPr>
          <t>PGATE on was triggered.</t>
        </r>
      </text>
    </comment>
    <comment ref="K4" authorId="0">
      <text>
        <r>
          <rPr>
            <sz val="9"/>
            <rFont val="Tahoma"/>
            <charset val="134"/>
          </rPr>
          <t>Thermal shutdown was triggered.</t>
        </r>
      </text>
    </comment>
    <comment ref="L4" authorId="0">
      <text>
        <r>
          <rPr>
            <sz val="9"/>
            <rFont val="Tahoma"/>
            <charset val="134"/>
          </rPr>
          <t>CP input current limit was triggered.</t>
        </r>
      </text>
    </comment>
    <comment ref="M4" authorId="0">
      <text>
        <r>
          <rPr>
            <sz val="9"/>
            <rFont val="Tahoma"/>
            <charset val="134"/>
          </rPr>
          <t>CP zero current was detected.</t>
        </r>
      </text>
    </comment>
    <comment ref="N4" authorId="0">
      <text>
        <r>
          <rPr>
            <sz val="9"/>
            <rFont val="Tahoma"/>
            <charset val="134"/>
          </rPr>
          <t>PX Low condition was detected (latched version).</t>
        </r>
      </text>
    </comment>
    <comment ref="O4" authorId="0">
      <text>
        <r>
          <rPr>
            <sz val="9"/>
            <rFont val="Tahoma"/>
            <charset val="134"/>
          </rPr>
          <t>PX Low condition was detected (raw version).</t>
        </r>
      </text>
    </comment>
    <comment ref="R4" authorId="0">
      <text>
        <r>
          <rPr>
            <sz val="9"/>
            <rFont val="Tahoma"/>
            <charset val="134"/>
          </rPr>
          <t>Dual-bit error was detected when loading shadow registers from OTP.</t>
        </r>
      </text>
    </comment>
    <comment ref="S4" authorId="0">
      <text>
        <r>
          <rPr>
            <sz val="9"/>
            <rFont val="Tahoma"/>
            <charset val="134"/>
          </rPr>
          <t>Single-bit error was corrected when loading shadow registers from OTP.</t>
        </r>
      </text>
    </comment>
    <comment ref="T4" authorId="0">
      <text>
        <r>
          <rPr>
            <sz val="9"/>
            <rFont val="Tahoma"/>
            <charset val="134"/>
          </rPr>
          <t>PGATE on was triggered.</t>
        </r>
      </text>
    </comment>
    <comment ref="U4" authorId="0">
      <text>
        <r>
          <rPr>
            <sz val="9"/>
            <rFont val="Tahoma"/>
            <charset val="134"/>
          </rPr>
          <t>Thermal shutdown was triggered.</t>
        </r>
      </text>
    </comment>
    <comment ref="V4" authorId="0">
      <text>
        <r>
          <rPr>
            <sz val="9"/>
            <rFont val="Tahoma"/>
            <charset val="134"/>
          </rPr>
          <t>CP input current limit was triggered.</t>
        </r>
      </text>
    </comment>
    <comment ref="W4" authorId="0">
      <text>
        <r>
          <rPr>
            <sz val="9"/>
            <rFont val="Tahoma"/>
            <charset val="134"/>
          </rPr>
          <t>CP zero current was detected.</t>
        </r>
      </text>
    </comment>
    <comment ref="X4" authorId="0">
      <text>
        <r>
          <rPr>
            <sz val="9"/>
            <rFont val="Tahoma"/>
            <charset val="134"/>
          </rPr>
          <t>PX Low condition was detected (latched version).</t>
        </r>
      </text>
    </comment>
    <comment ref="Y4" authorId="0">
      <text>
        <r>
          <rPr>
            <sz val="9"/>
            <rFont val="Tahoma"/>
            <charset val="134"/>
          </rPr>
          <t>PX Low condition was detected (raw version).</t>
        </r>
      </text>
    </comment>
    <comment ref="J5" authorId="0">
      <text>
        <r>
          <rPr>
            <sz val="9"/>
            <rFont val="Tahoma"/>
            <charset val="134"/>
          </rPr>
          <t>VOUT_FAULT was detected.</t>
        </r>
      </text>
    </comment>
    <comment ref="K5" authorId="0">
      <text>
        <r>
          <rPr>
            <sz val="9"/>
            <rFont val="Tahoma"/>
            <charset val="134"/>
          </rPr>
          <t>VCD_OK was detected.</t>
        </r>
      </text>
    </comment>
    <comment ref="L5" authorId="0">
      <text>
        <r>
          <rPr>
            <sz val="9"/>
            <rFont val="Tahoma"/>
            <charset val="134"/>
          </rPr>
          <t>VCC_OK was detected.</t>
        </r>
      </text>
    </comment>
    <comment ref="M5" authorId="0">
      <text>
        <r>
          <rPr>
            <sz val="9"/>
            <rFont val="Tahoma"/>
            <charset val="134"/>
          </rPr>
          <t>VCB OK was detected.</t>
        </r>
      </text>
    </comment>
    <comment ref="N5" authorId="0">
      <text>
        <r>
          <rPr>
            <sz val="9"/>
            <rFont val="Tahoma"/>
            <charset val="134"/>
          </rPr>
          <t>VOUT_OK was detected.</t>
        </r>
      </text>
    </comment>
    <comment ref="O5" authorId="0">
      <text>
        <r>
          <rPr>
            <sz val="9"/>
            <rFont val="Tahoma"/>
            <charset val="134"/>
          </rPr>
          <t>Vpower_OK was detected.</t>
        </r>
      </text>
    </comment>
    <comment ref="T5" authorId="0">
      <text>
        <r>
          <rPr>
            <sz val="9"/>
            <rFont val="Tahoma"/>
            <charset val="134"/>
          </rPr>
          <t>VOUT_FAULT was detected.</t>
        </r>
      </text>
    </comment>
    <comment ref="U5" authorId="0">
      <text>
        <r>
          <rPr>
            <sz val="9"/>
            <rFont val="Tahoma"/>
            <charset val="134"/>
          </rPr>
          <t>VCD_OK was detected.</t>
        </r>
      </text>
    </comment>
    <comment ref="V5" authorId="0">
      <text>
        <r>
          <rPr>
            <sz val="9"/>
            <rFont val="Tahoma"/>
            <charset val="134"/>
          </rPr>
          <t>VCC_OK was detected.</t>
        </r>
      </text>
    </comment>
    <comment ref="W5" authorId="0">
      <text>
        <r>
          <rPr>
            <sz val="9"/>
            <rFont val="Tahoma"/>
            <charset val="134"/>
          </rPr>
          <t>VCB OK was detected.</t>
        </r>
      </text>
    </comment>
    <comment ref="X5" authorId="0">
      <text>
        <r>
          <rPr>
            <sz val="9"/>
            <rFont val="Tahoma"/>
            <charset val="134"/>
          </rPr>
          <t>VOUT_OK was detected.</t>
        </r>
      </text>
    </comment>
    <comment ref="Y5" authorId="0">
      <text>
        <r>
          <rPr>
            <sz val="9"/>
            <rFont val="Tahoma"/>
            <charset val="134"/>
          </rPr>
          <t>Vpower_OK was detected.</t>
        </r>
      </text>
    </comment>
    <comment ref="H6" authorId="0">
      <text>
        <r>
          <rPr>
            <sz val="9"/>
            <rFont val="Tahoma"/>
            <charset val="134"/>
          </rPr>
          <t>Dual-bit error was detected when loading shadow registers from OTP.</t>
        </r>
      </text>
    </comment>
    <comment ref="I6" authorId="0">
      <text>
        <r>
          <rPr>
            <sz val="9"/>
            <rFont val="Tahoma"/>
            <charset val="134"/>
          </rPr>
          <t>Single-bit error was corrected when loading shadow registers from OTP.</t>
        </r>
      </text>
    </comment>
    <comment ref="J6" authorId="0">
      <text>
        <r>
          <rPr>
            <sz val="9"/>
            <rFont val="Tahoma"/>
            <charset val="134"/>
          </rPr>
          <t>PGATE on condition is present.</t>
        </r>
      </text>
    </comment>
    <comment ref="K6" authorId="0">
      <text>
        <r>
          <rPr>
            <sz val="9"/>
            <rFont val="Tahoma"/>
            <charset val="134"/>
          </rPr>
          <t>Thermal shutdown condition is present.</t>
        </r>
      </text>
    </comment>
    <comment ref="L6" authorId="0">
      <text>
        <r>
          <rPr>
            <sz val="9"/>
            <rFont val="Tahoma"/>
            <charset val="134"/>
          </rPr>
          <t>CP input current limit condition is present.</t>
        </r>
      </text>
    </comment>
    <comment ref="M6" authorId="0">
      <text>
        <r>
          <rPr>
            <sz val="9"/>
            <rFont val="Tahoma"/>
            <charset val="134"/>
          </rPr>
          <t>CP zero current condition is present.</t>
        </r>
      </text>
    </comment>
    <comment ref="N6" authorId="0">
      <text>
        <r>
          <rPr>
            <sz val="9"/>
            <rFont val="Tahoma"/>
            <charset val="134"/>
          </rPr>
          <t>PX Low condition is present (latched version).</t>
        </r>
      </text>
    </comment>
    <comment ref="O6" authorId="0">
      <text>
        <r>
          <rPr>
            <sz val="9"/>
            <rFont val="Tahoma"/>
            <charset val="134"/>
          </rPr>
          <t>PX Low condition is present (raw version).</t>
        </r>
      </text>
    </comment>
    <comment ref="R6" authorId="0">
      <text>
        <r>
          <rPr>
            <sz val="9"/>
            <rFont val="Tahoma"/>
            <charset val="134"/>
          </rPr>
          <t>Dual-bit error was detected when loading shadow registers from OTP.</t>
        </r>
      </text>
    </comment>
    <comment ref="S6" authorId="0">
      <text>
        <r>
          <rPr>
            <sz val="9"/>
            <rFont val="Tahoma"/>
            <charset val="134"/>
          </rPr>
          <t>Single-bit error was corrected when loading shadow registers from OTP.</t>
        </r>
      </text>
    </comment>
    <comment ref="T6" authorId="0">
      <text>
        <r>
          <rPr>
            <sz val="9"/>
            <rFont val="Tahoma"/>
            <charset val="134"/>
          </rPr>
          <t>PGATE on condition is present.</t>
        </r>
      </text>
    </comment>
    <comment ref="U6" authorId="0">
      <text>
        <r>
          <rPr>
            <sz val="9"/>
            <rFont val="Tahoma"/>
            <charset val="134"/>
          </rPr>
          <t>Thermal shutdown condition is present.</t>
        </r>
      </text>
    </comment>
    <comment ref="V6" authorId="0">
      <text>
        <r>
          <rPr>
            <sz val="9"/>
            <rFont val="Tahoma"/>
            <charset val="134"/>
          </rPr>
          <t>CP input current limit condition is present.</t>
        </r>
      </text>
    </comment>
    <comment ref="W6" authorId="0">
      <text>
        <r>
          <rPr>
            <sz val="9"/>
            <rFont val="Tahoma"/>
            <charset val="134"/>
          </rPr>
          <t>CP zero current condition is present.</t>
        </r>
      </text>
    </comment>
    <comment ref="X6" authorId="0">
      <text>
        <r>
          <rPr>
            <sz val="9"/>
            <rFont val="Tahoma"/>
            <charset val="134"/>
          </rPr>
          <t>PX Low condition is present (latched version).</t>
        </r>
      </text>
    </comment>
    <comment ref="Y6" authorId="0">
      <text>
        <r>
          <rPr>
            <sz val="9"/>
            <rFont val="Tahoma"/>
            <charset val="134"/>
          </rPr>
          <t>PX Low condition is present (raw version).</t>
        </r>
      </text>
    </comment>
    <comment ref="J7" authorId="0">
      <text>
        <r>
          <rPr>
            <sz val="9"/>
            <rFont val="Tahoma"/>
            <charset val="134"/>
          </rPr>
          <t>VOUT_OK is low in mission mode (active state).  This is normally a transient condition that will cause a transition to the HICCUP state.  It will be persistent if VOUT_OK is blanked.</t>
        </r>
      </text>
    </comment>
    <comment ref="K7" authorId="0">
      <text>
        <r>
          <rPr>
            <sz val="9"/>
            <rFont val="Tahoma"/>
            <charset val="134"/>
          </rPr>
          <t>VCD_OK condition is present.</t>
        </r>
      </text>
    </comment>
    <comment ref="L7" authorId="0">
      <text>
        <r>
          <rPr>
            <sz val="9"/>
            <rFont val="Tahoma"/>
            <charset val="134"/>
          </rPr>
          <t>VCC_OK condition is present.</t>
        </r>
      </text>
    </comment>
    <comment ref="M7" authorId="0">
      <text>
        <r>
          <rPr>
            <sz val="9"/>
            <rFont val="Tahoma"/>
            <charset val="134"/>
          </rPr>
          <t>VCB OK condition is present.</t>
        </r>
      </text>
    </comment>
    <comment ref="N7" authorId="0">
      <text>
        <r>
          <rPr>
            <sz val="9"/>
            <rFont val="Tahoma"/>
            <charset val="134"/>
          </rPr>
          <t>VOUT_OK condition is present.</t>
        </r>
      </text>
    </comment>
    <comment ref="O7" authorId="0">
      <text>
        <r>
          <rPr>
            <sz val="9"/>
            <rFont val="Tahoma"/>
            <charset val="134"/>
          </rPr>
          <t>Vpower_OK condition is present.</t>
        </r>
      </text>
    </comment>
    <comment ref="T7" authorId="0">
      <text>
        <r>
          <rPr>
            <sz val="9"/>
            <rFont val="Tahoma"/>
            <charset val="134"/>
          </rPr>
          <t>VOUT_OK is low in mission mode (active state).  This is normally a transient condition that will cause a transition to the HICCUP state.  It will be persistent if VOUT_OK is blanked.</t>
        </r>
      </text>
    </comment>
    <comment ref="U7" authorId="0">
      <text>
        <r>
          <rPr>
            <sz val="9"/>
            <rFont val="Tahoma"/>
            <charset val="134"/>
          </rPr>
          <t>VCD_OK condition is present.</t>
        </r>
      </text>
    </comment>
    <comment ref="V7" authorId="0">
      <text>
        <r>
          <rPr>
            <sz val="9"/>
            <rFont val="Tahoma"/>
            <charset val="134"/>
          </rPr>
          <t>VCC_OK condition is present.</t>
        </r>
      </text>
    </comment>
    <comment ref="W7" authorId="0">
      <text>
        <r>
          <rPr>
            <sz val="9"/>
            <rFont val="Tahoma"/>
            <charset val="134"/>
          </rPr>
          <t>VCB OK condition is present.</t>
        </r>
      </text>
    </comment>
    <comment ref="X7" authorId="0">
      <text>
        <r>
          <rPr>
            <sz val="9"/>
            <rFont val="Tahoma"/>
            <charset val="134"/>
          </rPr>
          <t>VOUT_OK condition is present.</t>
        </r>
      </text>
    </comment>
    <comment ref="Y7" authorId="0">
      <text>
        <r>
          <rPr>
            <sz val="9"/>
            <rFont val="Tahoma"/>
            <charset val="134"/>
          </rPr>
          <t>Vpower_OK condition is present.</t>
        </r>
      </text>
    </comment>
    <comment ref="H8" authorId="0">
      <text>
        <r>
          <rPr>
            <sz val="9"/>
            <rFont val="Tahoma"/>
            <charset val="134"/>
          </rPr>
          <t>Main state machine state variable.</t>
        </r>
      </text>
    </comment>
    <comment ref="K8" authorId="0">
      <text>
        <r>
          <rPr>
            <sz val="9"/>
            <rFont val="Tahoma"/>
            <charset val="134"/>
          </rPr>
          <t>Power state machine state variable.</t>
        </r>
      </text>
    </comment>
    <comment ref="R8" authorId="0">
      <text>
        <r>
          <rPr>
            <sz val="9"/>
            <rFont val="Tahoma"/>
            <charset val="134"/>
          </rPr>
          <t>Main state machine state variable.</t>
        </r>
      </text>
    </comment>
    <comment ref="U8" authorId="0">
      <text>
        <r>
          <rPr>
            <sz val="9"/>
            <rFont val="Tahoma"/>
            <charset val="134"/>
          </rPr>
          <t>Power state machine state variable.</t>
        </r>
      </text>
    </comment>
    <comment ref="H9" authorId="0">
      <text>
        <r>
          <rPr>
            <sz val="9"/>
            <rFont val="Tahoma"/>
            <charset val="134"/>
          </rPr>
          <t>currently active CP clock period (lower 8 bits).</t>
        </r>
      </text>
    </comment>
    <comment ref="R9" authorId="0">
      <text>
        <r>
          <rPr>
            <sz val="9"/>
            <rFont val="Tahoma"/>
            <charset val="134"/>
          </rPr>
          <t>currently active CP clock period (lower 8 bits).</t>
        </r>
      </text>
    </comment>
    <comment ref="L10" authorId="0">
      <text>
        <r>
          <rPr>
            <sz val="9"/>
            <rFont val="Tahoma"/>
            <charset val="134"/>
          </rPr>
          <t>currently active CP clock period (upper 4 bits).</t>
        </r>
      </text>
    </comment>
    <comment ref="V10" authorId="0">
      <text>
        <r>
          <rPr>
            <sz val="9"/>
            <rFont val="Tahoma"/>
            <charset val="134"/>
          </rPr>
          <t>currently active CP clock period (upper 4 bits).</t>
        </r>
      </text>
    </comment>
    <comment ref="K11" authorId="0">
      <text>
        <r>
          <rPr>
            <sz val="9"/>
            <rFont val="Tahoma"/>
            <charset val="134"/>
          </rPr>
          <t>active boost mode setting.</t>
        </r>
      </text>
    </comment>
    <comment ref="N11" authorId="0">
      <text>
        <r>
          <rPr>
            <sz val="9"/>
            <rFont val="Tahoma"/>
            <charset val="134"/>
          </rPr>
          <t>active conversion ratio setting.</t>
        </r>
      </text>
    </comment>
    <comment ref="U11" authorId="0">
      <text>
        <r>
          <rPr>
            <sz val="9"/>
            <rFont val="Tahoma"/>
            <charset val="134"/>
          </rPr>
          <t>active boost mode setting.</t>
        </r>
      </text>
    </comment>
    <comment ref="X11" authorId="0">
      <text>
        <r>
          <rPr>
            <sz val="9"/>
            <rFont val="Tahoma"/>
            <charset val="134"/>
          </rPr>
          <t>active conversion ratio setting.</t>
        </r>
      </text>
    </comment>
    <comment ref="J12" authorId="0">
      <text>
        <r>
          <rPr>
            <sz val="9"/>
            <rFont val="Tahoma"/>
            <charset val="134"/>
          </rPr>
          <t>12MHz oscillator trim.  This is a signed field (-32 to +31).</t>
        </r>
      </text>
    </comment>
    <comment ref="T12" authorId="0">
      <text>
        <r>
          <rPr>
            <sz val="9"/>
            <rFont val="Tahoma"/>
            <charset val="134"/>
          </rPr>
          <t>12MHz oscillator trim.  This is a signed field (-32 to +31).</t>
        </r>
      </text>
    </comment>
    <comment ref="J13" authorId="0">
      <text>
        <r>
          <rPr>
            <sz val="9"/>
            <rFont val="Tahoma"/>
            <charset val="134"/>
          </rPr>
          <t>Trim bias current reference.</t>
        </r>
      </text>
    </comment>
    <comment ref="T13" authorId="0">
      <text>
        <r>
          <rPr>
            <sz val="9"/>
            <rFont val="Tahoma"/>
            <charset val="134"/>
          </rPr>
          <t>Trim bias current reference.</t>
        </r>
      </text>
    </comment>
    <comment ref="J14" authorId="0">
      <text>
        <r>
          <rPr>
            <sz val="9"/>
            <rFont val="Tahoma"/>
            <charset val="134"/>
          </rPr>
          <t>Trim bandgap buffer voltage.</t>
        </r>
      </text>
    </comment>
    <comment ref="T14" authorId="0">
      <text>
        <r>
          <rPr>
            <sz val="9"/>
            <rFont val="Tahoma"/>
            <charset val="134"/>
          </rPr>
          <t>Trim bandgap buffer voltage.</t>
        </r>
      </text>
    </comment>
    <comment ref="H15" authorId="0">
      <text>
        <r>
          <rPr>
            <sz val="9"/>
            <rFont val="Tahoma"/>
            <charset val="134"/>
          </rPr>
          <t>Trim bandgap voltage.</t>
        </r>
      </text>
    </comment>
    <comment ref="R15" authorId="0">
      <text>
        <r>
          <rPr>
            <sz val="9"/>
            <rFont val="Tahoma"/>
            <charset val="134"/>
          </rPr>
          <t>Trim bandgap voltage.</t>
        </r>
      </text>
    </comment>
    <comment ref="L16" authorId="0">
      <text>
        <r>
          <rPr>
            <sz val="9"/>
            <rFont val="Tahoma"/>
            <charset val="134"/>
          </rPr>
          <t>Trim thermal shutdown.</t>
        </r>
      </text>
    </comment>
    <comment ref="V16" authorId="0">
      <text>
        <r>
          <rPr>
            <sz val="9"/>
            <rFont val="Tahoma"/>
            <charset val="134"/>
          </rPr>
          <t>Trim thermal shutdown.</t>
        </r>
      </text>
    </comment>
    <comment ref="J17" authorId="0">
      <text>
        <r>
          <rPr>
            <sz val="9"/>
            <rFont val="Tahoma"/>
            <charset val="134"/>
          </rPr>
          <t>Trim CP current.</t>
        </r>
      </text>
    </comment>
    <comment ref="T17" authorId="0">
      <text>
        <r>
          <rPr>
            <sz val="9"/>
            <rFont val="Tahoma"/>
            <charset val="134"/>
          </rPr>
          <t>Trim CP current.</t>
        </r>
      </text>
    </comment>
    <comment ref="J18" authorId="0">
      <text>
        <r>
          <rPr>
            <sz val="9"/>
            <rFont val="Tahoma"/>
            <charset val="134"/>
          </rPr>
          <t>Trim CP zero current.</t>
        </r>
      </text>
    </comment>
    <comment ref="T18" authorId="0">
      <text>
        <r>
          <rPr>
            <sz val="9"/>
            <rFont val="Tahoma"/>
            <charset val="134"/>
          </rPr>
          <t>Trim CP zero current.</t>
        </r>
      </text>
    </comment>
    <comment ref="L19" authorId="0">
      <text>
        <r>
          <rPr>
            <sz val="9"/>
            <rFont val="Tahoma"/>
            <charset val="134"/>
          </rPr>
          <t>Spare CP trim bits.</t>
        </r>
      </text>
    </comment>
    <comment ref="V19" authorId="0">
      <text>
        <r>
          <rPr>
            <sz val="9"/>
            <rFont val="Tahoma"/>
            <charset val="134"/>
          </rPr>
          <t>Spare CP trim bits.</t>
        </r>
      </text>
    </comment>
    <comment ref="H20" authorId="0">
      <text>
        <r>
          <rPr>
            <sz val="9"/>
            <rFont val="Tahoma"/>
            <charset val="134"/>
          </rPr>
          <t>Spare trim bits.</t>
        </r>
      </text>
    </comment>
    <comment ref="R20" authorId="0">
      <text>
        <r>
          <rPr>
            <sz val="9"/>
            <rFont val="Tahoma"/>
            <charset val="134"/>
          </rPr>
          <t>Spare trim bits.</t>
        </r>
      </text>
    </comment>
    <comment ref="H21" authorId="0">
      <text>
        <r>
          <rPr>
            <sz val="9"/>
            <rFont val="Tahoma"/>
            <charset val="134"/>
          </rPr>
          <t>Charge pump configuration
[4:0] CS offset
[8:5] CS gain 2nd
[11:9] CS-gain 3rd
[15:12] reserved
[19:16] Vpower UVLO threshold select *1.75+M*0.05
[22:20] BBM_PH short delay
[25:23] BBM_PH long delay
[26] BBM_PH 0 = short delay, 1 = long delay
[29:27] BBM_CP short delay
[32:30] BBM_CP long delay
[33] BBM_CP 0 = short delay, 1 = long delay
[34] PD_ST000
[36:35] DeglitchSW 00=1ns, 01=2.1ns, 10=2.4ns, 11=4.5ns
[37]  Enable soft switch when entering BUCK mission mode
[38] Disable PD and PxOK detectors
[39] Enable PxOK detection
[42:40] SS rate for SW B
[45:43] SS rate for SW C
[48:46] SS rate for SW D
[51:49] SS rate for Phase
[53:52] reserved
[55:54] CP soft-start clock selection</t>
        </r>
      </text>
    </comment>
    <comment ref="R21" authorId="0">
      <text>
        <r>
          <rPr>
            <sz val="9"/>
            <rFont val="Tahoma"/>
            <charset val="134"/>
          </rPr>
          <t>Charge pump configuration
[4:0] CS offset
[8:5] CS gain 2nd
[11:9] CS-gain 3rd
[15:12] reserved
[19:16] Vpower UVLO threshold select *1.75+M*0.05
[22:20] BBM_PH short delay
[25:23] BBM_PH long delay
[26] BBM_PH 0 = short delay, 1 = long delay
[29:27] BBM_CP short delay
[32:30] BBM_CP long delay
[33] BBM_CP 0 = short delay, 1 = long delay
[34] PD_ST000
[36:35] DeglitchSW 00=1ns, 01=2.1ns, 10=2.4ns, 11=4.5ns
[37]  Enable soft switch when entering BUCK mission mode
[38] Disable PD and PxOK detectors
[39] Enable PxOK detection
[42:40] SS rate for SW B
[45:43] SS rate for SW C
[48:46] SS rate for SW D
[51:49] SS rate for Phase
[53:52] reserved
[55:54] CP soft-start clock selection</t>
        </r>
      </text>
    </comment>
    <comment ref="H22" authorId="0">
      <text>
        <r>
          <rPr>
            <sz val="9"/>
            <rFont val="Tahoma"/>
            <charset val="134"/>
          </rPr>
          <t>Charge pump configuration</t>
        </r>
      </text>
    </comment>
    <comment ref="R22" authorId="0">
      <text>
        <r>
          <rPr>
            <sz val="9"/>
            <rFont val="Tahoma"/>
            <charset val="134"/>
          </rPr>
          <t>Charge pump configuration</t>
        </r>
      </text>
    </comment>
    <comment ref="H23" authorId="0">
      <text>
        <r>
          <rPr>
            <sz val="9"/>
            <rFont val="Tahoma"/>
            <charset val="134"/>
          </rPr>
          <t>Charge pump configuration</t>
        </r>
      </text>
    </comment>
    <comment ref="R23" authorId="0">
      <text>
        <r>
          <rPr>
            <sz val="9"/>
            <rFont val="Tahoma"/>
            <charset val="134"/>
          </rPr>
          <t>Charge pump configuration</t>
        </r>
      </text>
    </comment>
    <comment ref="H24" authorId="0">
      <text>
        <r>
          <rPr>
            <sz val="9"/>
            <rFont val="Tahoma"/>
            <charset val="134"/>
          </rPr>
          <t>Charge pump configuration</t>
        </r>
      </text>
    </comment>
    <comment ref="R24" authorId="0">
      <text>
        <r>
          <rPr>
            <sz val="9"/>
            <rFont val="Tahoma"/>
            <charset val="134"/>
          </rPr>
          <t>Charge pump configuration</t>
        </r>
      </text>
    </comment>
    <comment ref="H25" authorId="0">
      <text>
        <r>
          <rPr>
            <sz val="9"/>
            <rFont val="Tahoma"/>
            <charset val="134"/>
          </rPr>
          <t>Charge pump configuration</t>
        </r>
      </text>
    </comment>
    <comment ref="R25" authorId="0">
      <text>
        <r>
          <rPr>
            <sz val="9"/>
            <rFont val="Tahoma"/>
            <charset val="134"/>
          </rPr>
          <t>Charge pump configuration</t>
        </r>
      </text>
    </comment>
    <comment ref="H26" authorId="0">
      <text>
        <r>
          <rPr>
            <sz val="9"/>
            <rFont val="Tahoma"/>
            <charset val="134"/>
          </rPr>
          <t>Charge pump configuration</t>
        </r>
      </text>
    </comment>
    <comment ref="R26" authorId="0">
      <text>
        <r>
          <rPr>
            <sz val="9"/>
            <rFont val="Tahoma"/>
            <charset val="134"/>
          </rPr>
          <t>Charge pump configuration</t>
        </r>
      </text>
    </comment>
    <comment ref="H27" authorId="0">
      <text>
        <r>
          <rPr>
            <sz val="9"/>
            <rFont val="Tahoma"/>
            <charset val="134"/>
          </rPr>
          <t>Charge pump configuration</t>
        </r>
      </text>
    </comment>
    <comment ref="R27" authorId="0">
      <text>
        <r>
          <rPr>
            <sz val="9"/>
            <rFont val="Tahoma"/>
            <charset val="134"/>
          </rPr>
          <t>Charge pump configuration</t>
        </r>
      </text>
    </comment>
    <comment ref="M28" authorId="0">
      <text>
        <r>
          <rPr>
            <sz val="9"/>
            <rFont val="Tahoma"/>
            <charset val="134"/>
          </rPr>
          <t>low VDD configuration</t>
        </r>
      </text>
    </comment>
    <comment ref="N28" authorId="0">
      <text>
        <r>
          <rPr>
            <sz val="9"/>
            <rFont val="Tahoma"/>
            <charset val="134"/>
          </rPr>
          <t>disable thermal shutdown.</t>
        </r>
      </text>
    </comment>
    <comment ref="O28" authorId="0">
      <text>
        <r>
          <rPr>
            <sz val="9"/>
            <rFont val="Tahoma"/>
            <charset val="134"/>
          </rPr>
          <t>Select low Bandgap.</t>
        </r>
      </text>
    </comment>
    <comment ref="W28" authorId="0">
      <text>
        <r>
          <rPr>
            <sz val="9"/>
            <rFont val="Tahoma"/>
            <charset val="134"/>
          </rPr>
          <t>low VDD configuration</t>
        </r>
      </text>
    </comment>
    <comment ref="X28" authorId="0">
      <text>
        <r>
          <rPr>
            <sz val="9"/>
            <rFont val="Tahoma"/>
            <charset val="134"/>
          </rPr>
          <t>disable thermal shutdown.</t>
        </r>
      </text>
    </comment>
    <comment ref="Y28" authorId="0">
      <text>
        <r>
          <rPr>
            <sz val="9"/>
            <rFont val="Tahoma"/>
            <charset val="134"/>
          </rPr>
          <t>Select low Bandgap.</t>
        </r>
      </text>
    </comment>
    <comment ref="J29" authorId="0">
      <text>
        <r>
          <rPr>
            <sz val="9"/>
            <rFont val="Tahoma"/>
            <charset val="134"/>
          </rPr>
          <t>SDA output delay.</t>
        </r>
      </text>
    </comment>
    <comment ref="L29" authorId="0">
      <text>
        <r>
          <rPr>
            <sz val="9"/>
            <rFont val="Tahoma"/>
            <charset val="134"/>
          </rPr>
          <t>SDA input delay.</t>
        </r>
      </text>
    </comment>
    <comment ref="N29" authorId="0">
      <text>
        <r>
          <rPr>
            <sz val="9"/>
            <rFont val="Tahoma"/>
            <charset val="134"/>
          </rPr>
          <t>SCL input delay.</t>
        </r>
      </text>
    </comment>
    <comment ref="T29" authorId="0">
      <text>
        <r>
          <rPr>
            <sz val="9"/>
            <rFont val="Tahoma"/>
            <charset val="134"/>
          </rPr>
          <t>SDA output delay.</t>
        </r>
      </text>
    </comment>
    <comment ref="V29" authorId="0">
      <text>
        <r>
          <rPr>
            <sz val="9"/>
            <rFont val="Tahoma"/>
            <charset val="134"/>
          </rPr>
          <t>SDA input delay.</t>
        </r>
      </text>
    </comment>
    <comment ref="X29" authorId="0">
      <text>
        <r>
          <rPr>
            <sz val="9"/>
            <rFont val="Tahoma"/>
            <charset val="134"/>
          </rPr>
          <t>SCL input delay.</t>
        </r>
      </text>
    </comment>
    <comment ref="K30" authorId="0">
      <text>
        <r>
          <rPr>
            <sz val="9"/>
            <rFont val="Tahoma"/>
            <charset val="134"/>
          </rPr>
          <t>PGATE-IN configuration.</t>
        </r>
      </text>
    </comment>
    <comment ref="U30" authorId="0">
      <text>
        <r>
          <rPr>
            <sz val="9"/>
            <rFont val="Tahoma"/>
            <charset val="134"/>
          </rPr>
          <t>PGATE-IN configuration.</t>
        </r>
      </text>
    </comment>
    <comment ref="H31" authorId="0">
      <text>
        <r>
          <rPr>
            <sz val="9"/>
            <rFont val="Tahoma"/>
            <charset val="134"/>
          </rPr>
          <t>Spare analog configuration.</t>
        </r>
      </text>
    </comment>
    <comment ref="R31" authorId="0">
      <text>
        <r>
          <rPr>
            <sz val="9"/>
            <rFont val="Tahoma"/>
            <charset val="134"/>
          </rPr>
          <t>Spare analog configuration.</t>
        </r>
      </text>
    </comment>
    <comment ref="L32" authorId="0">
      <text>
        <r>
          <rPr>
            <sz val="9"/>
            <rFont val="Tahoma"/>
            <charset val="134"/>
          </rPr>
          <t>Alternative CP clock adjustment when CP is not fully active.
0=1X, 1=1/2X, 2=1/4X, 3=1/8X</t>
        </r>
      </text>
    </comment>
    <comment ref="N32" authorId="0">
      <text>
        <r>
          <rPr>
            <sz val="9"/>
            <rFont val="Tahoma"/>
            <charset val="134"/>
          </rPr>
          <t>Enable spread spectrum frequency ramping on CP-clock.</t>
        </r>
      </text>
    </comment>
    <comment ref="O32" authorId="0">
      <text>
        <r>
          <rPr>
            <sz val="9"/>
            <rFont val="Tahoma"/>
            <charset val="134"/>
          </rPr>
          <t>Override CP-clock frequency measurement circuit with default value.</t>
        </r>
      </text>
    </comment>
    <comment ref="V32" authorId="0">
      <text>
        <r>
          <rPr>
            <sz val="9"/>
            <rFont val="Tahoma"/>
            <charset val="134"/>
          </rPr>
          <t>Alternative CP clock adjustment when CP is not fully active.
0=1X, 1=1/2X, 2=1/4X, 3=1/8X</t>
        </r>
      </text>
    </comment>
    <comment ref="X32" authorId="0">
      <text>
        <r>
          <rPr>
            <sz val="9"/>
            <rFont val="Tahoma"/>
            <charset val="134"/>
          </rPr>
          <t>Enable spread spectrum frequency ramping on CP-clock.</t>
        </r>
      </text>
    </comment>
    <comment ref="Y32" authorId="0">
      <text>
        <r>
          <rPr>
            <sz val="9"/>
            <rFont val="Tahoma"/>
            <charset val="134"/>
          </rPr>
          <t>Override CP-clock frequency measurement circuit with default value.</t>
        </r>
      </text>
    </comment>
    <comment ref="H33" authorId="0">
      <text>
        <r>
          <rPr>
            <sz val="9"/>
            <rFont val="Tahoma"/>
            <charset val="134"/>
          </rPr>
          <t>Default CP-CLOCK period (12MHz clock ticks).</t>
        </r>
      </text>
    </comment>
    <comment ref="R33" authorId="0">
      <text>
        <r>
          <rPr>
            <sz val="9"/>
            <rFont val="Tahoma"/>
            <charset val="134"/>
          </rPr>
          <t>Default CP-CLOCK period (12MHz clock ticks).</t>
        </r>
      </text>
    </comment>
    <comment ref="L34" authorId="0">
      <text>
        <r>
          <rPr>
            <sz val="9"/>
            <rFont val="Tahoma"/>
            <charset val="134"/>
          </rPr>
          <t>Default CP-CLOCK period (12MHz clock ticks).</t>
        </r>
      </text>
    </comment>
    <comment ref="V34" authorId="0">
      <text>
        <r>
          <rPr>
            <sz val="9"/>
            <rFont val="Tahoma"/>
            <charset val="134"/>
          </rPr>
          <t>Default CP-CLOCK period (12MHz clock ticks).</t>
        </r>
      </text>
    </comment>
    <comment ref="I35" authorId="0">
      <text>
        <r>
          <rPr>
            <sz val="9"/>
            <rFont val="Tahoma"/>
            <charset val="134"/>
          </rPr>
          <t>Signed offset (range from -64 to +63), applied to measured count before gain.</t>
        </r>
      </text>
    </comment>
    <comment ref="S35" authorId="0">
      <text>
        <r>
          <rPr>
            <sz val="9"/>
            <rFont val="Tahoma"/>
            <charset val="134"/>
          </rPr>
          <t>Signed offset (range from -64 to +63), applied to measured count before gain.</t>
        </r>
      </text>
    </comment>
    <comment ref="H36" authorId="0">
      <text>
        <r>
          <rPr>
            <sz val="9"/>
            <rFont val="Tahoma"/>
            <charset val="134"/>
          </rPr>
          <t>Fixed point format: 4 integer bits, 4 fractional bits, applied to measured count after offset.
Effective gain factor is equal to (CPCLK_GAIN+1)/16:  max=16, min=0.625.</t>
        </r>
      </text>
    </comment>
    <comment ref="R36" authorId="0">
      <text>
        <r>
          <rPr>
            <sz val="9"/>
            <rFont val="Tahoma"/>
            <charset val="134"/>
          </rPr>
          <t>Fixed point format: 4 integer bits, 4 fractional bits, applied to measured count after offset.
Effective gain factor is equal to (CPCLK_GAIN+1)/16:  max=16, min=0.625.</t>
        </r>
      </text>
    </comment>
    <comment ref="H37" authorId="0">
      <text>
        <r>
          <rPr>
            <sz val="9"/>
            <rFont val="Tahoma"/>
            <charset val="134"/>
          </rPr>
          <t>Minimum allowed CP clock period. The CPCLK_MIN period will be used if the measured/adjusted period is less or equal to CPCLK_MIN.</t>
        </r>
      </text>
    </comment>
    <comment ref="R37" authorId="0">
      <text>
        <r>
          <rPr>
            <sz val="9"/>
            <rFont val="Tahoma"/>
            <charset val="134"/>
          </rPr>
          <t>Minimum allowed CP clock period. The CPCLK_MIN period will be used if the measured/adjusted period is less or equal to CPCLK_MIN.</t>
        </r>
      </text>
    </comment>
    <comment ref="L38" authorId="0">
      <text>
        <r>
          <rPr>
            <sz val="9"/>
            <rFont val="Tahoma"/>
            <charset val="134"/>
          </rPr>
          <t>Minimum allowed CP clock period. The CPCLK_MIN period will be used if the measured/adjusted period is less or equal to CPCLK_MIN.</t>
        </r>
      </text>
    </comment>
    <comment ref="V38" authorId="0">
      <text>
        <r>
          <rPr>
            <sz val="9"/>
            <rFont val="Tahoma"/>
            <charset val="134"/>
          </rPr>
          <t>Minimum allowed CP clock period. The CPCLK_MIN period will be used if the measured/adjusted period is less or equal to CPCLK_MIN.</t>
        </r>
      </text>
    </comment>
    <comment ref="H39" authorId="0">
      <text>
        <r>
          <rPr>
            <sz val="9"/>
            <rFont val="Tahoma"/>
            <charset val="134"/>
          </rPr>
          <t>Maximum allowed CP clock period.  The CPCLK_MAX period will be use if measured/adjusted period is greater than or equal to CPCLK_MAX.</t>
        </r>
      </text>
    </comment>
    <comment ref="R39" authorId="0">
      <text>
        <r>
          <rPr>
            <sz val="9"/>
            <rFont val="Tahoma"/>
            <charset val="134"/>
          </rPr>
          <t>Maximum allowed CP clock period.  The CPCLK_MAX period will be use if measured/adjusted period is greater than or equal to CPCLK_MAX.</t>
        </r>
      </text>
    </comment>
    <comment ref="L40" authorId="0">
      <text>
        <r>
          <rPr>
            <sz val="9"/>
            <rFont val="Tahoma"/>
            <charset val="134"/>
          </rPr>
          <t>Maximum allowed CP clock period.  The CPCLK_MAX period will be use if measured/adjusted period is greater than or equal to CPCLK_MAX.</t>
        </r>
      </text>
    </comment>
    <comment ref="V40" authorId="0">
      <text>
        <r>
          <rPr>
            <sz val="9"/>
            <rFont val="Tahoma"/>
            <charset val="134"/>
          </rPr>
          <t>Maximum allowed CP clock period.  The CPCLK_MAX period will be use if measured/adjusted period is greater than or equal to CPCLK_MAX.</t>
        </r>
      </text>
    </comment>
    <comment ref="H41" authorId="0">
      <text>
        <r>
          <rPr>
            <sz val="9"/>
            <rFont val="Tahoma"/>
            <charset val="134"/>
          </rPr>
          <t>d_clkss frequency setting when d_boost_mode=0.  Divisor applied to 12MHz clock.  0=1/1, 1=1/2, 2=1/3, … 15=1/17</t>
        </r>
      </text>
    </comment>
    <comment ref="L41" authorId="0">
      <text>
        <r>
          <rPr>
            <sz val="9"/>
            <rFont val="Tahoma"/>
            <charset val="134"/>
          </rPr>
          <t>d_clkss frequency setting when d_boost_mode=1.  Divisor applied to 12MHz clock.  0=1/1, 1=1/2, 2=1/3, … 15=1/16</t>
        </r>
      </text>
    </comment>
    <comment ref="R41" authorId="0">
      <text>
        <r>
          <rPr>
            <sz val="9"/>
            <rFont val="Tahoma"/>
            <charset val="134"/>
          </rPr>
          <t>d_clkss frequency setting when d_boost_mode=0.  Divisor applied to 12MHz clock.  0=1/1, 1=1/2, 2=1/3, … 15=1/17</t>
        </r>
      </text>
    </comment>
    <comment ref="V41" authorId="0">
      <text>
        <r>
          <rPr>
            <sz val="9"/>
            <rFont val="Tahoma"/>
            <charset val="134"/>
          </rPr>
          <t>d_clkss frequency setting when d_boost_mode=1.  Divisor applied to 12MHz clock.  0=1/1, 1=1/2, 2=1/3, … 15=1/16</t>
        </r>
      </text>
    </comment>
    <comment ref="J42" authorId="0">
      <text>
        <r>
          <rPr>
            <sz val="9"/>
            <rFont val="Tahoma"/>
            <charset val="134"/>
          </rPr>
          <t>blank pgate_on.</t>
        </r>
      </text>
    </comment>
    <comment ref="K42" authorId="0">
      <text>
        <r>
          <rPr>
            <sz val="9"/>
            <rFont val="Tahoma"/>
            <charset val="134"/>
          </rPr>
          <t>blank tsd.</t>
        </r>
      </text>
    </comment>
    <comment ref="L42" authorId="0">
      <text>
        <r>
          <rPr>
            <sz val="9"/>
            <rFont val="Tahoma"/>
            <charset val="134"/>
          </rPr>
          <t>blank ilim.</t>
        </r>
      </text>
    </comment>
    <comment ref="M42" authorId="0">
      <text>
        <r>
          <rPr>
            <sz val="9"/>
            <rFont val="Tahoma"/>
            <charset val="134"/>
          </rPr>
          <t>blank zcd.</t>
        </r>
      </text>
    </comment>
    <comment ref="N42" authorId="0">
      <text>
        <r>
          <rPr>
            <sz val="9"/>
            <rFont val="Tahoma"/>
            <charset val="134"/>
          </rPr>
          <t>blank p1_lo_latch.</t>
        </r>
      </text>
    </comment>
    <comment ref="O42" authorId="0">
      <text>
        <r>
          <rPr>
            <sz val="9"/>
            <rFont val="Tahoma"/>
            <charset val="134"/>
          </rPr>
          <t>blank p1_lo_raw.</t>
        </r>
      </text>
    </comment>
    <comment ref="T42" authorId="0">
      <text>
        <r>
          <rPr>
            <sz val="9"/>
            <rFont val="Tahoma"/>
            <charset val="134"/>
          </rPr>
          <t>blank pgate_on.</t>
        </r>
      </text>
    </comment>
    <comment ref="U42" authorId="0">
      <text>
        <r>
          <rPr>
            <sz val="9"/>
            <rFont val="Tahoma"/>
            <charset val="134"/>
          </rPr>
          <t>blank tsd.</t>
        </r>
      </text>
    </comment>
    <comment ref="V42" authorId="0">
      <text>
        <r>
          <rPr>
            <sz val="9"/>
            <rFont val="Tahoma"/>
            <charset val="134"/>
          </rPr>
          <t>blank ilim.</t>
        </r>
      </text>
    </comment>
    <comment ref="W42" authorId="0">
      <text>
        <r>
          <rPr>
            <sz val="9"/>
            <rFont val="Tahoma"/>
            <charset val="134"/>
          </rPr>
          <t>blank zcd.</t>
        </r>
      </text>
    </comment>
    <comment ref="X42" authorId="0">
      <text>
        <r>
          <rPr>
            <sz val="9"/>
            <rFont val="Tahoma"/>
            <charset val="134"/>
          </rPr>
          <t>blank p1_lo_latch.</t>
        </r>
      </text>
    </comment>
    <comment ref="Y42" authorId="0">
      <text>
        <r>
          <rPr>
            <sz val="9"/>
            <rFont val="Tahoma"/>
            <charset val="134"/>
          </rPr>
          <t>blank p1_lo_raw.</t>
        </r>
      </text>
    </comment>
    <comment ref="K43" authorId="0">
      <text>
        <r>
          <rPr>
            <sz val="9"/>
            <rFont val="Tahoma"/>
            <charset val="134"/>
          </rPr>
          <t>blank vcd_uv.</t>
        </r>
      </text>
    </comment>
    <comment ref="L43" authorId="0">
      <text>
        <r>
          <rPr>
            <sz val="9"/>
            <rFont val="Tahoma"/>
            <charset val="134"/>
          </rPr>
          <t>blank vcc_uv.</t>
        </r>
      </text>
    </comment>
    <comment ref="M43" authorId="0">
      <text>
        <r>
          <rPr>
            <sz val="9"/>
            <rFont val="Tahoma"/>
            <charset val="134"/>
          </rPr>
          <t>blank vcb_uv.</t>
        </r>
      </text>
    </comment>
    <comment ref="N43" authorId="0">
      <text>
        <r>
          <rPr>
            <sz val="9"/>
            <rFont val="Tahoma"/>
            <charset val="134"/>
          </rPr>
          <t>blank vout_uv.</t>
        </r>
      </text>
    </comment>
    <comment ref="O43" authorId="0">
      <text>
        <r>
          <rPr>
            <sz val="9"/>
            <rFont val="Tahoma"/>
            <charset val="134"/>
          </rPr>
          <t>blank vpwr_uv.</t>
        </r>
      </text>
    </comment>
    <comment ref="U43" authorId="0">
      <text>
        <r>
          <rPr>
            <sz val="9"/>
            <rFont val="Tahoma"/>
            <charset val="134"/>
          </rPr>
          <t>blank vcd_uv.</t>
        </r>
      </text>
    </comment>
    <comment ref="V43" authorId="0">
      <text>
        <r>
          <rPr>
            <sz val="9"/>
            <rFont val="Tahoma"/>
            <charset val="134"/>
          </rPr>
          <t>blank vcc_uv.</t>
        </r>
      </text>
    </comment>
    <comment ref="W43" authorId="0">
      <text>
        <r>
          <rPr>
            <sz val="9"/>
            <rFont val="Tahoma"/>
            <charset val="134"/>
          </rPr>
          <t>blank vcb_uv.</t>
        </r>
      </text>
    </comment>
    <comment ref="X43" authorId="0">
      <text>
        <r>
          <rPr>
            <sz val="9"/>
            <rFont val="Tahoma"/>
            <charset val="134"/>
          </rPr>
          <t>blank vout_uv.</t>
        </r>
      </text>
    </comment>
    <comment ref="Y43" authorId="0">
      <text>
        <r>
          <rPr>
            <sz val="9"/>
            <rFont val="Tahoma"/>
            <charset val="134"/>
          </rPr>
          <t>blank vpwr_uv.</t>
        </r>
      </text>
    </comment>
    <comment ref="K44" authorId="0">
      <text>
        <r>
          <rPr>
            <sz val="9"/>
            <rFont val="Tahoma"/>
            <charset val="134"/>
          </rPr>
          <t>latch tsd fault.</t>
        </r>
      </text>
    </comment>
    <comment ref="L44" authorId="0">
      <text>
        <r>
          <rPr>
            <sz val="9"/>
            <rFont val="Tahoma"/>
            <charset val="134"/>
          </rPr>
          <t>latch ilim fault.</t>
        </r>
      </text>
    </comment>
    <comment ref="M44" authorId="0">
      <text>
        <r>
          <rPr>
            <sz val="9"/>
            <rFont val="Tahoma"/>
            <charset val="134"/>
          </rPr>
          <t>latch zcd fault.</t>
        </r>
      </text>
    </comment>
    <comment ref="R44" authorId="0">
      <text>
        <r>
          <rPr>
            <sz val="9"/>
            <rFont val="Tahoma"/>
            <charset val="134"/>
          </rPr>
          <t>Deglitch filter setting for CP zero current detect.</t>
        </r>
      </text>
    </comment>
    <comment ref="T44" authorId="0">
      <text>
        <r>
          <rPr>
            <sz val="9"/>
            <rFont val="Tahoma"/>
            <charset val="134"/>
          </rPr>
          <t>Deglitch filter setting for CP current limit.</t>
        </r>
      </text>
    </comment>
    <comment ref="V44" authorId="0">
      <text>
        <r>
          <rPr>
            <sz val="9"/>
            <rFont val="Tahoma"/>
            <charset val="134"/>
          </rPr>
          <t>Deglitch filter setting for a_cpclkm_out.</t>
        </r>
      </text>
    </comment>
    <comment ref="X44" authorId="0">
      <text>
        <r>
          <rPr>
            <sz val="9"/>
            <rFont val="Tahoma"/>
            <charset val="134"/>
          </rPr>
          <t>Deglitch filter setting for a_tsd.</t>
        </r>
      </text>
    </comment>
    <comment ref="J45" authorId="0">
      <text>
        <r>
          <rPr>
            <sz val="9"/>
            <rFont val="Tahoma"/>
            <charset val="134"/>
          </rPr>
          <t>latch vout_fault.</t>
        </r>
      </text>
    </comment>
    <comment ref="R45" authorId="0">
      <text>
        <r>
          <rPr>
            <sz val="9"/>
            <rFont val="Tahoma"/>
            <charset val="134"/>
          </rPr>
          <t>Deglitch filter setting for P1 low detect (raw version).</t>
        </r>
      </text>
    </comment>
    <comment ref="T45" authorId="0">
      <text>
        <r>
          <rPr>
            <sz val="9"/>
            <rFont val="Tahoma"/>
            <charset val="134"/>
          </rPr>
          <t>Deglitch filter setting for P1 low detect (latched version).</t>
        </r>
      </text>
    </comment>
    <comment ref="V45" authorId="0">
      <text>
        <r>
          <rPr>
            <sz val="9"/>
            <rFont val="Tahoma"/>
            <charset val="134"/>
          </rPr>
          <t>Deglitch filter setting for VOUT_UV detect.</t>
        </r>
      </text>
    </comment>
    <comment ref="X45" authorId="0">
      <text>
        <r>
          <rPr>
            <sz val="9"/>
            <rFont val="Tahoma"/>
            <charset val="134"/>
          </rPr>
          <t>Deglitch filter setting for VPWR_UV detect.</t>
        </r>
      </text>
    </comment>
    <comment ref="H46" authorId="0">
      <text>
        <r>
          <rPr>
            <sz val="9"/>
            <rFont val="Tahoma"/>
            <charset val="134"/>
          </rPr>
          <t>Deglitch filter setting for rising edge of CP zero current detect.
0=bypass, 1=10us, 2=25us, 3=50us</t>
        </r>
      </text>
    </comment>
    <comment ref="J46" authorId="0">
      <text>
        <r>
          <rPr>
            <sz val="9"/>
            <rFont val="Tahoma"/>
            <charset val="134"/>
          </rPr>
          <t>Deglitch filter setting for rising edge of CP current limit.
0=bypass, 1=10us, 2=25us, 3=50us</t>
        </r>
      </text>
    </comment>
    <comment ref="L46" authorId="0">
      <text>
        <r>
          <rPr>
            <sz val="9"/>
            <rFont val="Tahoma"/>
            <charset val="134"/>
          </rPr>
          <t>Deglitch filter setting for rising edge of a_cpclkm_out.
0=bypass, 1=10us, 2=25us, 3=50us</t>
        </r>
      </text>
    </comment>
    <comment ref="N46" authorId="0">
      <text>
        <r>
          <rPr>
            <sz val="9"/>
            <rFont val="Tahoma"/>
            <charset val="134"/>
          </rPr>
          <t>Deglitch filter setting for rising edge of a_tsd.
0=bypass, 1=10us, 2=25us, 3=50us</t>
        </r>
      </text>
    </comment>
    <comment ref="R46" authorId="0">
      <text>
        <r>
          <rPr>
            <sz val="9"/>
            <rFont val="Tahoma"/>
            <charset val="134"/>
          </rPr>
          <t>Deglitch filter setting for P1 low detect (raw version).</t>
        </r>
      </text>
    </comment>
    <comment ref="T46" authorId="0">
      <text>
        <r>
          <rPr>
            <sz val="9"/>
            <rFont val="Tahoma"/>
            <charset val="134"/>
          </rPr>
          <t>Deglitch filter setting for P1 low detect (latched version).</t>
        </r>
      </text>
    </comment>
    <comment ref="V46" authorId="0">
      <text>
        <r>
          <rPr>
            <sz val="9"/>
            <rFont val="Tahoma"/>
            <charset val="134"/>
          </rPr>
          <t>Deglitch filter setting for VOUT_UV detect.</t>
        </r>
      </text>
    </comment>
    <comment ref="X46" authorId="0">
      <text>
        <r>
          <rPr>
            <sz val="9"/>
            <rFont val="Tahoma"/>
            <charset val="134"/>
          </rPr>
          <t>Deglitch filter setting for VPWR_UV detect.</t>
        </r>
      </text>
    </comment>
    <comment ref="H47" authorId="0">
      <text>
        <r>
          <rPr>
            <sz val="9"/>
            <rFont val="Tahoma"/>
            <charset val="134"/>
          </rPr>
          <t>Deglitch filter setting for rising edge of P1 low detect (raw version).
0=bypass, 1=10us, 2=25us, 3=50us</t>
        </r>
      </text>
    </comment>
    <comment ref="J47" authorId="0">
      <text>
        <r>
          <rPr>
            <sz val="9"/>
            <rFont val="Tahoma"/>
            <charset val="134"/>
          </rPr>
          <t>Deglitch filter setting for rising edge of P1 low detect (latched version).
0=bypass, 1=10us, 2=25us, 3=50us</t>
        </r>
      </text>
    </comment>
    <comment ref="L47" authorId="0">
      <text>
        <r>
          <rPr>
            <sz val="9"/>
            <rFont val="Tahoma"/>
            <charset val="134"/>
          </rPr>
          <t>Deglitch filter setting for falling edge of VOUT_UV detect.
0=bypass, 1=200us, 2=1ms, 3=2ms</t>
        </r>
      </text>
    </comment>
    <comment ref="N47" authorId="0">
      <text>
        <r>
          <rPr>
            <sz val="9"/>
            <rFont val="Tahoma"/>
            <charset val="134"/>
          </rPr>
          <t>Deglitch filter setting for rising edge of VPWR_UV detect.
0=bypass, 1=10us, 2=25us, 3=50us</t>
        </r>
      </text>
    </comment>
    <comment ref="V47" authorId="0">
      <text>
        <r>
          <rPr>
            <sz val="9"/>
            <rFont val="Tahoma"/>
            <charset val="134"/>
          </rPr>
          <t>Deglitch filter setting for a_en_det (for bias buffer enable shutdown)</t>
        </r>
      </text>
    </comment>
    <comment ref="X47" authorId="0">
      <text>
        <r>
          <rPr>
            <sz val="9"/>
            <rFont val="Tahoma"/>
            <charset val="134"/>
          </rPr>
          <t>Deglitch filter setting for a_en_det (for charge pump shutdown)</t>
        </r>
      </text>
    </comment>
    <comment ref="H48" authorId="0">
      <text>
        <r>
          <rPr>
            <sz val="9"/>
            <rFont val="Tahoma"/>
            <charset val="134"/>
          </rPr>
          <t>Deglitch filter setting for rising edge of a_pgate_on.
0=bypass, 1=10us, 2=25us, 3=50us</t>
        </r>
      </text>
    </comment>
    <comment ref="J48" authorId="0">
      <text>
        <r>
          <rPr>
            <sz val="9"/>
            <rFont val="Tahoma"/>
            <charset val="134"/>
          </rPr>
          <t>Deglitch filter setting for rising/falling edges of VCD UV detect.
0=bypass, 1=10us, 2=25us, 3=50us</t>
        </r>
      </text>
    </comment>
    <comment ref="L48" authorId="0">
      <text>
        <r>
          <rPr>
            <sz val="9"/>
            <rFont val="Tahoma"/>
            <charset val="134"/>
          </rPr>
          <t>Deglitch filter setting for rising/falling edges of VCC UV detect.
0=bypass, 1=10us, 2=25us, 3=50us</t>
        </r>
      </text>
    </comment>
    <comment ref="N48" authorId="0">
      <text>
        <r>
          <rPr>
            <sz val="9"/>
            <rFont val="Tahoma"/>
            <charset val="134"/>
          </rPr>
          <t>Deglitch filter setting for rising/falling edges of VCB UV detect.
0=bypass, 1=10us, 2=25us, 3=50us</t>
        </r>
      </text>
    </comment>
    <comment ref="S48" authorId="0">
      <text>
        <r>
          <rPr>
            <sz val="9"/>
            <rFont val="Tahoma"/>
            <charset val="134"/>
          </rPr>
          <t>Select DISCHG_PHASE state time interval.
0=5ms, 1=10ms, 2=20ms, 3=25ms,
4=50ms, 5=100ms, 6=200ms, 7=300ms</t>
        </r>
      </text>
    </comment>
    <comment ref="W48" authorId="0">
      <text>
        <r>
          <rPr>
            <sz val="9"/>
            <rFont val="Tahoma"/>
            <charset val="134"/>
          </rPr>
          <t>Select HICCUP state time interval.
0=10ms, 1=20ms, 2=30ms, 3=50ms,
4=100ms, 5=150ms, 6=200ms, 7=300ms</t>
        </r>
      </text>
    </comment>
    <comment ref="N49" authorId="0">
      <text>
        <r>
          <rPr>
            <sz val="9"/>
            <rFont val="Tahoma"/>
            <charset val="134"/>
          </rPr>
          <t>Deglitch filter setting for falling edge of a_en_det.
0=bypass, 1=10us, 2=25us, 3=50us</t>
        </r>
      </text>
    </comment>
    <comment ref="S49" authorId="0">
      <text>
        <r>
          <rPr>
            <sz val="9"/>
            <rFont val="Tahoma"/>
            <charset val="134"/>
          </rPr>
          <t>Select BST_CHARGE state time interval.
0=100us, 1=500us, 2=1ms, 3=1.5ms,
4=2ms, 5=5ms, 6=10ms, 7=20ms</t>
        </r>
      </text>
    </comment>
    <comment ref="W49" authorId="0">
      <text>
        <r>
          <rPr>
            <sz val="9"/>
            <rFont val="Tahoma"/>
            <charset val="134"/>
          </rPr>
          <t>Select DISCHG_FLYCAP state time interval.
0=5ms, 1=10ms, 2=20ms, 3=25ms,
4=50ms, 5=100ms, 6=200ms, 7=300ms</t>
        </r>
      </text>
    </comment>
    <comment ref="I50" authorId="0">
      <text>
        <r>
          <rPr>
            <sz val="9"/>
            <rFont val="Tahoma"/>
            <charset val="134"/>
          </rPr>
          <t>Select DISCHG_PHASE state time interval.
0=1ms, 1=2ms, 2=4ms, 3=8ms,
4=10ms, 5=20ms, 6=50ms, 7=100ms</t>
        </r>
      </text>
    </comment>
    <comment ref="M50" authorId="0">
      <text>
        <r>
          <rPr>
            <sz val="9"/>
            <rFont val="Tahoma"/>
            <charset val="134"/>
          </rPr>
          <t>Select HICCUP state time interval.
0=10ms, 1=20ms, 2=30ms, 3=50ms,
4=100ms, 5=150ms, 6=200ms, 7=300ms</t>
        </r>
      </text>
    </comment>
    <comment ref="S50" authorId="0">
      <text>
        <r>
          <rPr>
            <sz val="9"/>
            <rFont val="Tahoma"/>
            <charset val="134"/>
          </rPr>
          <t>Select STEPDOWN_SOFTSTART state time interval.
0=100us, 1=500us, 2=1ms, 3=1.5ms,
4=2ms, 5=5ms, 6=10ms, 7=20ms</t>
        </r>
      </text>
    </comment>
    <comment ref="W50" authorId="0">
      <text>
        <r>
          <rPr>
            <sz val="9"/>
            <rFont val="Tahoma"/>
            <charset val="134"/>
          </rPr>
          <t>Select STEPUP_SOFTSTART state time interval.
0=5ms, 1=10ms, 2=20ms, 3=25ms,
4=50ms, 5=100ms, 6=200ms, 7=300ms</t>
        </r>
      </text>
    </comment>
    <comment ref="I51" authorId="0">
      <text>
        <r>
          <rPr>
            <sz val="9"/>
            <rFont val="Tahoma"/>
            <charset val="134"/>
          </rPr>
          <t>Select BST_CHARGE state time interval.
0=600us, 1=1ms, 2=2ms, 3=3ms,
4=4ms, 5=5ms, 6=10ms, 7=20ms</t>
        </r>
      </text>
    </comment>
    <comment ref="M51" authorId="0">
      <text>
        <r>
          <rPr>
            <sz val="9"/>
            <rFont val="Tahoma"/>
            <charset val="134"/>
          </rPr>
          <t>Select DISCHG_FLYCAP state time interval.
0=5ms, 1=10ms, 2=15ms, 3=20ms,
4=30ms, 5=40ms, 6=50ms, 7=100ms</t>
        </r>
      </text>
    </comment>
    <comment ref="S51" authorId="0">
      <text>
        <r>
          <rPr>
            <sz val="9"/>
            <rFont val="Tahoma"/>
            <charset val="134"/>
          </rPr>
          <t>Select SHUTDOWN state time interval.
0=100us, 1=500us, 2=1ms, 3=1.5ms,
4=2ms, 5=5ms, 6=10ms, 7=20ms</t>
        </r>
      </text>
    </comment>
    <comment ref="W51" authorId="0">
      <text>
        <r>
          <rPr>
            <sz val="9"/>
            <rFont val="Tahoma"/>
            <charset val="134"/>
          </rPr>
          <t>Select CP_START state time interval.
0=83ns, 1=100us, 2=200us, 3=300us,
4=400us, 5=500us, 6=600us, 7=700us</t>
        </r>
      </text>
    </comment>
    <comment ref="I52" authorId="0">
      <text>
        <r>
          <rPr>
            <sz val="9"/>
            <rFont val="Tahoma"/>
            <charset val="134"/>
          </rPr>
          <t>Select STEPDOWN_SOFTSTART state time interval.
0=300us, 1=500us, 2=1ms, 3=1.5ms,
4=2ms, 5=3ms, 6=4ms, 7=5ms</t>
        </r>
      </text>
    </comment>
    <comment ref="M52" authorId="0">
      <text>
        <r>
          <rPr>
            <sz val="9"/>
            <rFont val="Tahoma"/>
            <charset val="134"/>
          </rPr>
          <t>Select STEPUP_SOFTSTART state time interval.
0=500us, 1=1ms, 2=2ms, 4ms,
4=56ms, 5=8ms, 6=10ms, 7=20ms</t>
        </r>
      </text>
    </comment>
    <comment ref="S52" authorId="0">
      <text>
        <r>
          <rPr>
            <sz val="9"/>
            <rFont val="Tahoma"/>
            <charset val="134"/>
          </rPr>
          <t>Full 7-bit I2C-address.</t>
        </r>
      </text>
    </comment>
    <comment ref="I53" authorId="0">
      <text>
        <r>
          <rPr>
            <sz val="9"/>
            <rFont val="Tahoma"/>
            <charset val="134"/>
          </rPr>
          <t>Select SHUTDOWN state time interval.
0=100us, 1=500us, 2=1ms, 3=1.5ms,
4=2ms, 5=5ms, 6=10ms, 7=20ms</t>
        </r>
      </text>
    </comment>
    <comment ref="M53" authorId="0">
      <text>
        <r>
          <rPr>
            <sz val="9"/>
            <rFont val="Tahoma"/>
            <charset val="134"/>
          </rPr>
          <t>Select CP_START state time interval.
0=83ns, 1=100us, 2=200us, 3=300us,
4=400us, 5=500us, 6=600us, 7=700us</t>
        </r>
      </text>
    </comment>
    <comment ref="V53" authorId="0">
      <text>
        <r>
          <rPr>
            <sz val="9"/>
            <rFont val="Tahoma"/>
            <charset val="134"/>
          </rPr>
          <t>Located at the beginning of each OTP page.  In a valid page this field will be programmed to 1010b (Ah).</t>
        </r>
      </text>
    </comment>
    <comment ref="M54" authorId="0">
      <text>
        <r>
          <rPr>
            <sz val="9"/>
            <rFont val="Tahoma"/>
            <charset val="134"/>
          </rPr>
          <t>Select OFF state time interval.
0=100us, 1=500us, 2=1ms, 3=1.5ms,
4=2ms, 5=5ms, 6=10ms, 7=20ms</t>
        </r>
      </text>
    </comment>
    <comment ref="X54" authorId="0">
      <text>
        <r>
          <rPr>
            <sz val="9"/>
            <rFont val="Tahoma"/>
            <charset val="134"/>
          </rPr>
          <t>Disable clock gating for I2C register and NVM logic.</t>
        </r>
      </text>
    </comment>
    <comment ref="Y54" authorId="0">
      <text>
        <r>
          <rPr>
            <sz val="9"/>
            <rFont val="Tahoma"/>
            <charset val="134"/>
          </rPr>
          <t>Select between raw and latched version of PX LO status.  0=raw, 1=latched.</t>
        </r>
      </text>
    </comment>
    <comment ref="I55" authorId="0">
      <text>
        <r>
          <rPr>
            <sz val="9"/>
            <rFont val="Tahoma"/>
            <charset val="134"/>
          </rPr>
          <t>Full 7-bit I2C-address.</t>
        </r>
      </text>
    </comment>
    <comment ref="S55" authorId="0">
      <text>
        <r>
          <rPr>
            <sz val="9"/>
            <rFont val="Tahoma"/>
            <charset val="134"/>
          </rPr>
          <t>Full 7-bit I2C-address.</t>
        </r>
      </text>
    </comment>
    <comment ref="O56" authorId="0">
      <text>
        <r>
          <rPr>
            <sz val="9"/>
            <rFont val="Tahoma"/>
            <charset val="134"/>
          </rPr>
          <t>Inhibit startup when set.  Prevents the charge pump from starting on unprogrammed devices.  Must be set to 0 to enable powering up the DC/DC converter.</t>
        </r>
      </text>
    </comment>
    <comment ref="Y56" authorId="0">
      <text>
        <r>
          <rPr>
            <sz val="9"/>
            <rFont val="Tahoma"/>
            <charset val="134"/>
          </rPr>
          <t>Inhibit startup when set.  Prevents the charge pump from starting on unprogrammed devices.  Must be set to 0 to enable powering up the DC/DC converter.</t>
        </r>
      </text>
    </comment>
    <comment ref="L57" authorId="0">
      <text>
        <r>
          <rPr>
            <sz val="9"/>
            <rFont val="Tahoma"/>
            <charset val="134"/>
          </rPr>
          <t>Located at the beginning of each OTP page.  In a valid page this field will be programmed to 1010b (Ah).</t>
        </r>
      </text>
    </comment>
    <comment ref="V57" authorId="0">
      <text>
        <r>
          <rPr>
            <sz val="9"/>
            <rFont val="Tahoma"/>
            <charset val="134"/>
          </rPr>
          <t>Located at the beginning of each OTP page.  In a valid page this field will be programmed to 1010b (Ah).</t>
        </r>
      </text>
    </comment>
    <comment ref="N58" authorId="0">
      <text>
        <r>
          <rPr>
            <sz val="9"/>
            <rFont val="Tahoma"/>
            <charset val="134"/>
          </rPr>
          <t>Disable clock gating for I2C register and NVM logic.</t>
        </r>
      </text>
    </comment>
    <comment ref="O58" authorId="0">
      <text>
        <r>
          <rPr>
            <sz val="9"/>
            <rFont val="Tahoma"/>
            <charset val="134"/>
          </rPr>
          <t>Select between raw and latched version of PX LO status.  0=raw, 1=latched.</t>
        </r>
      </text>
    </comment>
    <comment ref="X58" authorId="0">
      <text>
        <r>
          <rPr>
            <sz val="9"/>
            <rFont val="Tahoma"/>
            <charset val="134"/>
          </rPr>
          <t>Disable clock gating for I2C register and NVM logic.</t>
        </r>
      </text>
    </comment>
    <comment ref="Y58" authorId="0">
      <text>
        <r>
          <rPr>
            <sz val="9"/>
            <rFont val="Tahoma"/>
            <charset val="134"/>
          </rPr>
          <t>Select between raw and latched version of PX LO status.  0=raw, 1=latched.</t>
        </r>
      </text>
    </comment>
    <comment ref="H59" authorId="0">
      <text>
        <r>
          <rPr>
            <sz val="9"/>
            <rFont val="Tahoma"/>
            <charset val="134"/>
          </rPr>
          <t>unused bits in the OTP Page.  Available for new shadow registers.</t>
        </r>
      </text>
    </comment>
    <comment ref="R59" authorId="0">
      <text>
        <r>
          <rPr>
            <sz val="9"/>
            <rFont val="Tahoma"/>
            <charset val="134"/>
          </rPr>
          <t>unused bits in the OTP Page.  Available for new shadow registers.</t>
        </r>
      </text>
    </comment>
    <comment ref="J60" authorId="0">
      <text>
        <r>
          <rPr>
            <sz val="9"/>
            <rFont val="Tahoma"/>
            <charset val="134"/>
          </rPr>
          <t>Offset of 64-bit block within the compressed shadow register image.</t>
        </r>
      </text>
    </comment>
    <comment ref="T60" authorId="0">
      <text>
        <r>
          <rPr>
            <sz val="9"/>
            <rFont val="Tahoma"/>
            <charset val="134"/>
          </rPr>
          <t>Offset of 64-bit block within the compressed shadow register image.</t>
        </r>
      </text>
    </comment>
    <comment ref="H61" authorId="0">
      <text>
        <r>
          <rPr>
            <sz val="9"/>
            <rFont val="Tahoma"/>
            <charset val="134"/>
          </rPr>
          <t>Compressed shadow register image - byte 0</t>
        </r>
      </text>
    </comment>
    <comment ref="R61" authorId="0">
      <text>
        <r>
          <rPr>
            <sz val="9"/>
            <rFont val="Tahoma"/>
            <charset val="134"/>
          </rPr>
          <t>Compressed shadow register image - byte 0</t>
        </r>
      </text>
    </comment>
    <comment ref="H62" authorId="0">
      <text>
        <r>
          <rPr>
            <sz val="9"/>
            <rFont val="Tahoma"/>
            <charset val="134"/>
          </rPr>
          <t>Compressed shadow register image - byte 1</t>
        </r>
      </text>
    </comment>
    <comment ref="R62" authorId="0">
      <text>
        <r>
          <rPr>
            <sz val="9"/>
            <rFont val="Tahoma"/>
            <charset val="134"/>
          </rPr>
          <t>Compressed shadow register image - byte 1</t>
        </r>
      </text>
    </comment>
    <comment ref="H63" authorId="0">
      <text>
        <r>
          <rPr>
            <sz val="9"/>
            <rFont val="Tahoma"/>
            <charset val="134"/>
          </rPr>
          <t>Compressed shadow register image - byte 2</t>
        </r>
      </text>
    </comment>
    <comment ref="R63" authorId="0">
      <text>
        <r>
          <rPr>
            <sz val="9"/>
            <rFont val="Tahoma"/>
            <charset val="134"/>
          </rPr>
          <t>Compressed shadow register image - byte 2</t>
        </r>
      </text>
    </comment>
    <comment ref="H64" authorId="0">
      <text>
        <r>
          <rPr>
            <sz val="9"/>
            <rFont val="Tahoma"/>
            <charset val="134"/>
          </rPr>
          <t>Compressed shadow register image - byte 3</t>
        </r>
      </text>
    </comment>
    <comment ref="R64" authorId="0">
      <text>
        <r>
          <rPr>
            <sz val="9"/>
            <rFont val="Tahoma"/>
            <charset val="134"/>
          </rPr>
          <t>Compressed shadow register image - byte 3</t>
        </r>
      </text>
    </comment>
    <comment ref="H65" authorId="0">
      <text>
        <r>
          <rPr>
            <sz val="9"/>
            <rFont val="Tahoma"/>
            <charset val="134"/>
          </rPr>
          <t>Compressed shadow register image - byte 4</t>
        </r>
      </text>
    </comment>
    <comment ref="R65" authorId="0">
      <text>
        <r>
          <rPr>
            <sz val="9"/>
            <rFont val="Tahoma"/>
            <charset val="134"/>
          </rPr>
          <t>Compressed shadow register image - byte 4</t>
        </r>
      </text>
    </comment>
    <comment ref="H66" authorId="0">
      <text>
        <r>
          <rPr>
            <sz val="9"/>
            <rFont val="Tahoma"/>
            <charset val="134"/>
          </rPr>
          <t>Compressed shadow register image - byte 5</t>
        </r>
      </text>
    </comment>
    <comment ref="R66" authorId="0">
      <text>
        <r>
          <rPr>
            <sz val="9"/>
            <rFont val="Tahoma"/>
            <charset val="134"/>
          </rPr>
          <t>Compressed shadow register image - byte 5</t>
        </r>
      </text>
    </comment>
    <comment ref="H67" authorId="0">
      <text>
        <r>
          <rPr>
            <sz val="9"/>
            <rFont val="Tahoma"/>
            <charset val="134"/>
          </rPr>
          <t>Compressed shadow register image - byte 6</t>
        </r>
      </text>
    </comment>
    <comment ref="R67" authorId="0">
      <text>
        <r>
          <rPr>
            <sz val="9"/>
            <rFont val="Tahoma"/>
            <charset val="134"/>
          </rPr>
          <t>Compressed shadow register image - byte 6</t>
        </r>
      </text>
    </comment>
    <comment ref="H68" authorId="0">
      <text>
        <r>
          <rPr>
            <sz val="9"/>
            <rFont val="Tahoma"/>
            <charset val="134"/>
          </rPr>
          <t>Compressed shadow register image - byte 7</t>
        </r>
      </text>
    </comment>
    <comment ref="R68" authorId="0">
      <text>
        <r>
          <rPr>
            <sz val="9"/>
            <rFont val="Tahoma"/>
            <charset val="134"/>
          </rPr>
          <t>Compressed shadow register image - byte 7</t>
        </r>
      </text>
    </comment>
    <comment ref="H69" authorId="0">
      <text>
        <r>
          <rPr>
            <sz val="9"/>
            <rFont val="Tahoma"/>
            <charset val="134"/>
          </rPr>
          <t>Keep I2C out of reset (useful when forcing main state).</t>
        </r>
      </text>
    </comment>
    <comment ref="J69" authorId="0">
      <text>
        <r>
          <rPr>
            <sz val="9"/>
            <rFont val="Tahoma"/>
            <charset val="134"/>
          </rPr>
          <t>I2C I/O testmodes.</t>
        </r>
      </text>
    </comment>
    <comment ref="O69" authorId="0">
      <text>
        <r>
          <rPr>
            <sz val="9"/>
            <rFont val="Tahoma"/>
            <charset val="134"/>
          </rPr>
          <t>Disable register address incrementing in multi-byte read and write I2C accesses.</t>
        </r>
      </text>
    </comment>
    <comment ref="R69" authorId="0">
      <text>
        <r>
          <rPr>
            <sz val="9"/>
            <rFont val="Tahoma"/>
            <charset val="134"/>
          </rPr>
          <t>Keep I2C out of reset (useful when forcing main state).</t>
        </r>
      </text>
    </comment>
    <comment ref="T69" authorId="0">
      <text>
        <r>
          <rPr>
            <sz val="9"/>
            <rFont val="Tahoma"/>
            <charset val="134"/>
          </rPr>
          <t>I2C I/O testmodes.</t>
        </r>
      </text>
    </comment>
    <comment ref="Y69" authorId="0">
      <text>
        <r>
          <rPr>
            <sz val="9"/>
            <rFont val="Tahoma"/>
            <charset val="134"/>
          </rPr>
          <t>Disable register address incrementing in multi-byte read and write I2C accesses.</t>
        </r>
      </text>
    </comment>
    <comment ref="H70" authorId="0">
      <text>
        <r>
          <rPr>
            <sz val="9"/>
            <rFont val="Tahoma"/>
            <charset val="134"/>
          </rPr>
          <t>Set to enable scan mode.</t>
        </r>
      </text>
    </comment>
    <comment ref="R70" authorId="0">
      <text>
        <r>
          <rPr>
            <sz val="9"/>
            <rFont val="Tahoma"/>
            <charset val="134"/>
          </rPr>
          <t>Set to enable scan mode.</t>
        </r>
      </text>
    </comment>
    <comment ref="O71" authorId="0">
      <text>
        <r>
          <rPr>
            <sz val="9"/>
            <rFont val="Tahoma"/>
            <charset val="134"/>
          </rPr>
          <t>Allow exit from PWR_LATCH_FAULT state.</t>
        </r>
      </text>
    </comment>
    <comment ref="Y71" authorId="0">
      <text>
        <r>
          <rPr>
            <sz val="9"/>
            <rFont val="Tahoma"/>
            <charset val="134"/>
          </rPr>
          <t>Allow exit from PWR_LATCH_FAULT state.</t>
        </r>
      </text>
    </comment>
    <comment ref="I72" authorId="0">
      <text>
        <r>
          <rPr>
            <sz val="9"/>
            <rFont val="Tahoma"/>
            <charset val="134"/>
          </rPr>
          <t>Select internal signal for output on d_tm_diag[0].</t>
        </r>
      </text>
    </comment>
    <comment ref="S72" authorId="0">
      <text>
        <r>
          <rPr>
            <sz val="9"/>
            <rFont val="Tahoma"/>
            <charset val="134"/>
          </rPr>
          <t>Select internal signal for output on d_tm_diag[0].</t>
        </r>
      </text>
    </comment>
    <comment ref="I73" authorId="0">
      <text>
        <r>
          <rPr>
            <sz val="9"/>
            <rFont val="Tahoma"/>
            <charset val="134"/>
          </rPr>
          <t>Select internal signal for output on d_tm_diag[1].</t>
        </r>
      </text>
    </comment>
    <comment ref="S73" authorId="0">
      <text>
        <r>
          <rPr>
            <sz val="9"/>
            <rFont val="Tahoma"/>
            <charset val="134"/>
          </rPr>
          <t>Select internal signal for output on d_tm_diag[1].</t>
        </r>
      </text>
    </comment>
    <comment ref="J74" authorId="0">
      <text>
        <r>
          <rPr>
            <sz val="9"/>
            <rFont val="Tahoma"/>
            <charset val="134"/>
          </rPr>
          <t>Enable digital test mux.</t>
        </r>
      </text>
    </comment>
    <comment ref="N74" authorId="0">
      <text>
        <r>
          <rPr>
            <sz val="9"/>
            <rFont val="Tahoma"/>
            <charset val="134"/>
          </rPr>
          <t>Enable analog test mux.</t>
        </r>
      </text>
    </comment>
    <comment ref="T74" authorId="0">
      <text>
        <r>
          <rPr>
            <sz val="9"/>
            <rFont val="Tahoma"/>
            <charset val="134"/>
          </rPr>
          <t>Enable digital test mux.</t>
        </r>
      </text>
    </comment>
    <comment ref="X74" authorId="0">
      <text>
        <r>
          <rPr>
            <sz val="9"/>
            <rFont val="Tahoma"/>
            <charset val="134"/>
          </rPr>
          <t>Enable analog test mux.</t>
        </r>
      </text>
    </comment>
    <comment ref="H75" authorId="0">
      <text>
        <r>
          <rPr>
            <sz val="9"/>
            <rFont val="Tahoma"/>
            <charset val="134"/>
          </rPr>
          <t>Analog test mux select.</t>
        </r>
      </text>
    </comment>
    <comment ref="R75" authorId="0">
      <text>
        <r>
          <rPr>
            <sz val="9"/>
            <rFont val="Tahoma"/>
            <charset val="134"/>
          </rPr>
          <t>Analog test mux select.</t>
        </r>
      </text>
    </comment>
    <comment ref="H76" authorId="0">
      <text>
        <r>
          <rPr>
            <sz val="9"/>
            <rFont val="Tahoma"/>
            <charset val="134"/>
          </rPr>
          <t>Digital test mux select.</t>
        </r>
      </text>
    </comment>
    <comment ref="R76" authorId="0">
      <text>
        <r>
          <rPr>
            <sz val="9"/>
            <rFont val="Tahoma"/>
            <charset val="134"/>
          </rPr>
          <t>Digital test mux select.</t>
        </r>
      </text>
    </comment>
    <comment ref="H77" authorId="0">
      <text>
        <r>
          <rPr>
            <sz val="9"/>
            <rFont val="Tahoma"/>
            <charset val="134"/>
          </rPr>
          <t>force BST A1/2 = 1.</t>
        </r>
      </text>
    </comment>
    <comment ref="I77" authorId="0">
      <text>
        <r>
          <rPr>
            <sz val="9"/>
            <rFont val="Tahoma"/>
            <charset val="134"/>
          </rPr>
          <t>force BST PHS1/2 = 1.</t>
        </r>
      </text>
    </comment>
    <comment ref="J77" authorId="0">
      <text>
        <r>
          <rPr>
            <sz val="9"/>
            <rFont val="Tahoma"/>
            <charset val="134"/>
          </rPr>
          <t>force SW D1/2 = 1.</t>
        </r>
      </text>
    </comment>
    <comment ref="K77" authorId="0">
      <text>
        <r>
          <rPr>
            <sz val="9"/>
            <rFont val="Tahoma"/>
            <charset val="134"/>
          </rPr>
          <t>force SW C1/2 = 1.</t>
        </r>
      </text>
    </comment>
    <comment ref="L77" authorId="0">
      <text>
        <r>
          <rPr>
            <sz val="9"/>
            <rFont val="Tahoma"/>
            <charset val="134"/>
          </rPr>
          <t>force SW B1/2 = 1.</t>
        </r>
      </text>
    </comment>
    <comment ref="M77" authorId="0">
      <text>
        <r>
          <rPr>
            <sz val="9"/>
            <rFont val="Tahoma"/>
            <charset val="134"/>
          </rPr>
          <t>force SW A1/2 = 1.</t>
        </r>
      </text>
    </comment>
    <comment ref="N77" authorId="0">
      <text>
        <r>
          <rPr>
            <sz val="9"/>
            <rFont val="Tahoma"/>
            <charset val="134"/>
          </rPr>
          <t>force PHS1/2 = 1.</t>
        </r>
      </text>
    </comment>
    <comment ref="O77" authorId="0">
      <text>
        <r>
          <rPr>
            <sz val="9"/>
            <rFont val="Tahoma"/>
            <charset val="134"/>
          </rPr>
          <t>force PLS1/2 = 1.</t>
        </r>
      </text>
    </comment>
    <comment ref="R77" authorId="0">
      <text>
        <r>
          <rPr>
            <sz val="9"/>
            <rFont val="Tahoma"/>
            <charset val="134"/>
          </rPr>
          <t>force BST A1/2 = 1.</t>
        </r>
      </text>
    </comment>
    <comment ref="S77" authorId="0">
      <text>
        <r>
          <rPr>
            <sz val="9"/>
            <rFont val="Tahoma"/>
            <charset val="134"/>
          </rPr>
          <t>force BST PHS1/2 = 1.</t>
        </r>
      </text>
    </comment>
    <comment ref="T77" authorId="0">
      <text>
        <r>
          <rPr>
            <sz val="9"/>
            <rFont val="Tahoma"/>
            <charset val="134"/>
          </rPr>
          <t>force SW D1/2 = 1.</t>
        </r>
      </text>
    </comment>
    <comment ref="U77" authorId="0">
      <text>
        <r>
          <rPr>
            <sz val="9"/>
            <rFont val="Tahoma"/>
            <charset val="134"/>
          </rPr>
          <t>force SW C1/2 = 1.</t>
        </r>
      </text>
    </comment>
    <comment ref="V77" authorId="0">
      <text>
        <r>
          <rPr>
            <sz val="9"/>
            <rFont val="Tahoma"/>
            <charset val="134"/>
          </rPr>
          <t>force SW B1/2 = 1.</t>
        </r>
      </text>
    </comment>
    <comment ref="W77" authorId="0">
      <text>
        <r>
          <rPr>
            <sz val="9"/>
            <rFont val="Tahoma"/>
            <charset val="134"/>
          </rPr>
          <t>force SW A1/2 = 1.</t>
        </r>
      </text>
    </comment>
    <comment ref="X77" authorId="0">
      <text>
        <r>
          <rPr>
            <sz val="9"/>
            <rFont val="Tahoma"/>
            <charset val="134"/>
          </rPr>
          <t>force PHS1/2 = 1.</t>
        </r>
      </text>
    </comment>
    <comment ref="Y77" authorId="0">
      <text>
        <r>
          <rPr>
            <sz val="9"/>
            <rFont val="Tahoma"/>
            <charset val="134"/>
          </rPr>
          <t>force PLS1/2 = 1.</t>
        </r>
      </text>
    </comment>
    <comment ref="H78" authorId="0">
      <text>
        <r>
          <rPr>
            <sz val="9"/>
            <rFont val="Tahoma"/>
            <charset val="134"/>
          </rPr>
          <t>force LM D = 1.</t>
        </r>
      </text>
    </comment>
    <comment ref="I78" authorId="0">
      <text>
        <r>
          <rPr>
            <sz val="9"/>
            <rFont val="Tahoma"/>
            <charset val="134"/>
          </rPr>
          <t>force LM C = 1.</t>
        </r>
      </text>
    </comment>
    <comment ref="J78" authorId="0">
      <text>
        <r>
          <rPr>
            <sz val="9"/>
            <rFont val="Tahoma"/>
            <charset val="134"/>
          </rPr>
          <t>force LM B = 1.</t>
        </r>
      </text>
    </comment>
    <comment ref="K78" authorId="0">
      <text>
        <r>
          <rPr>
            <sz val="9"/>
            <rFont val="Tahoma"/>
            <charset val="134"/>
          </rPr>
          <t>force ss = 1.</t>
        </r>
      </text>
    </comment>
    <comment ref="L78" authorId="0">
      <text>
        <r>
          <rPr>
            <sz val="9"/>
            <rFont val="Tahoma"/>
            <charset val="134"/>
          </rPr>
          <t>force ss_phase = 1.</t>
        </r>
      </text>
    </comment>
    <comment ref="M78" authorId="0">
      <text>
        <r>
          <rPr>
            <sz val="9"/>
            <rFont val="Tahoma"/>
            <charset val="134"/>
          </rPr>
          <t>force BST D1/2 = 1.</t>
        </r>
      </text>
    </comment>
    <comment ref="N78" authorId="0">
      <text>
        <r>
          <rPr>
            <sz val="9"/>
            <rFont val="Tahoma"/>
            <charset val="134"/>
          </rPr>
          <t>force BST C1/2 = 1.</t>
        </r>
      </text>
    </comment>
    <comment ref="O78" authorId="0">
      <text>
        <r>
          <rPr>
            <sz val="9"/>
            <rFont val="Tahoma"/>
            <charset val="134"/>
          </rPr>
          <t>force BST B1/2 = 1.</t>
        </r>
      </text>
    </comment>
    <comment ref="R78" authorId="0">
      <text>
        <r>
          <rPr>
            <sz val="9"/>
            <rFont val="Tahoma"/>
            <charset val="134"/>
          </rPr>
          <t>force LM D = 1.</t>
        </r>
      </text>
    </comment>
    <comment ref="S78" authorId="0">
      <text>
        <r>
          <rPr>
            <sz val="9"/>
            <rFont val="Tahoma"/>
            <charset val="134"/>
          </rPr>
          <t>force LM C = 1.</t>
        </r>
      </text>
    </comment>
    <comment ref="T78" authorId="0">
      <text>
        <r>
          <rPr>
            <sz val="9"/>
            <rFont val="Tahoma"/>
            <charset val="134"/>
          </rPr>
          <t>force LM B = 1.</t>
        </r>
      </text>
    </comment>
    <comment ref="U78" authorId="0">
      <text>
        <r>
          <rPr>
            <sz val="9"/>
            <rFont val="Tahoma"/>
            <charset val="134"/>
          </rPr>
          <t>force ss = 1.</t>
        </r>
      </text>
    </comment>
    <comment ref="V78" authorId="0">
      <text>
        <r>
          <rPr>
            <sz val="9"/>
            <rFont val="Tahoma"/>
            <charset val="134"/>
          </rPr>
          <t>force ss_phase = 1.</t>
        </r>
      </text>
    </comment>
    <comment ref="W78" authorId="0">
      <text>
        <r>
          <rPr>
            <sz val="9"/>
            <rFont val="Tahoma"/>
            <charset val="134"/>
          </rPr>
          <t>force BST D1/2 = 1.</t>
        </r>
      </text>
    </comment>
    <comment ref="X78" authorId="0">
      <text>
        <r>
          <rPr>
            <sz val="9"/>
            <rFont val="Tahoma"/>
            <charset val="134"/>
          </rPr>
          <t>force BST C1/2 = 1.</t>
        </r>
      </text>
    </comment>
    <comment ref="Y78" authorId="0">
      <text>
        <r>
          <rPr>
            <sz val="9"/>
            <rFont val="Tahoma"/>
            <charset val="134"/>
          </rPr>
          <t>force BST B1/2 = 1.</t>
        </r>
      </text>
    </comment>
    <comment ref="H79" authorId="0">
      <text>
        <r>
          <rPr>
            <sz val="9"/>
            <rFont val="Tahoma"/>
            <charset val="134"/>
          </rPr>
          <t>CS testbus:
[0] - shut down floating regulator and op (LV) for the CS current mirror gain.
[1] - shut down CS-out current mirror.
[2] - shut down offset current mirror.
[3] - shutdown CS trim and ZCD trim at the same time.
[4] - reserved</t>
        </r>
      </text>
    </comment>
    <comment ref="M79" authorId="0">
      <text>
        <r>
          <rPr>
            <sz val="9"/>
            <rFont val="Tahoma"/>
            <charset val="134"/>
          </rPr>
          <t>export UV Vth to TMUX.</t>
        </r>
      </text>
    </comment>
    <comment ref="N79" authorId="0">
      <text>
        <r>
          <rPr>
            <sz val="9"/>
            <rFont val="Tahoma"/>
            <charset val="134"/>
          </rPr>
          <t>Enable PD.</t>
        </r>
      </text>
    </comment>
    <comment ref="O79" authorId="0">
      <text>
        <r>
          <rPr>
            <sz val="9"/>
            <rFont val="Tahoma"/>
            <charset val="134"/>
          </rPr>
          <t>disable all switches.</t>
        </r>
      </text>
    </comment>
    <comment ref="R79" authorId="0">
      <text>
        <r>
          <rPr>
            <sz val="9"/>
            <rFont val="Tahoma"/>
            <charset val="134"/>
          </rPr>
          <t>CS testbus:
[0] - shut down floating regulator and op (LV) for the CS current mirror gain.
[1] - shut down CS-out current mirror.
[2] - shut down offset current mirror.
[3] - shutdown CS trim and ZCD trim at the same time.
[4] - reserved</t>
        </r>
      </text>
    </comment>
    <comment ref="W79" authorId="0">
      <text>
        <r>
          <rPr>
            <sz val="9"/>
            <rFont val="Tahoma"/>
            <charset val="134"/>
          </rPr>
          <t>export UV Vth to TMUX.</t>
        </r>
      </text>
    </comment>
    <comment ref="X79" authorId="0">
      <text>
        <r>
          <rPr>
            <sz val="9"/>
            <rFont val="Tahoma"/>
            <charset val="134"/>
          </rPr>
          <t>Enable PD.</t>
        </r>
      </text>
    </comment>
    <comment ref="Y79" authorId="0">
      <text>
        <r>
          <rPr>
            <sz val="9"/>
            <rFont val="Tahoma"/>
            <charset val="134"/>
          </rPr>
          <t>disable all switches.</t>
        </r>
      </text>
    </comment>
    <comment ref="N80" authorId="0">
      <text>
        <r>
          <rPr>
            <sz val="9"/>
            <rFont val="Tahoma"/>
            <charset val="134"/>
          </rPr>
          <t>Power on reset testmode.</t>
        </r>
      </text>
    </comment>
    <comment ref="O80" authorId="0">
      <text>
        <r>
          <rPr>
            <sz val="9"/>
            <rFont val="Tahoma"/>
            <charset val="134"/>
          </rPr>
          <t>Reference/Bias testmode.</t>
        </r>
      </text>
    </comment>
    <comment ref="X80" authorId="0">
      <text>
        <r>
          <rPr>
            <sz val="9"/>
            <rFont val="Tahoma"/>
            <charset val="134"/>
          </rPr>
          <t>Power on reset testmode.</t>
        </r>
      </text>
    </comment>
    <comment ref="Y80" authorId="0">
      <text>
        <r>
          <rPr>
            <sz val="9"/>
            <rFont val="Tahoma"/>
            <charset val="134"/>
          </rPr>
          <t>Reference/Bias testmode.</t>
        </r>
      </text>
    </comment>
    <comment ref="H81" authorId="0">
      <text>
        <r>
          <rPr>
            <sz val="9"/>
            <rFont val="Tahoma"/>
            <charset val="134"/>
          </rPr>
          <t>Override d_cp_discharge.  00b/01b=normal, 10b=low, 11b=high.</t>
        </r>
      </text>
    </comment>
    <comment ref="J81" authorId="0">
      <text>
        <r>
          <rPr>
            <sz val="9"/>
            <rFont val="Tahoma"/>
            <charset val="134"/>
          </rPr>
          <t>Override d_ratio[1].  00b/01b=normal, 10b=low, 11b=high.</t>
        </r>
      </text>
    </comment>
    <comment ref="L81" authorId="0">
      <text>
        <r>
          <rPr>
            <sz val="9"/>
            <rFont val="Tahoma"/>
            <charset val="134"/>
          </rPr>
          <t>Override d_ratio[0].  00b/01b=normal, 10b=low, 11b=high.</t>
        </r>
      </text>
    </comment>
    <comment ref="N81" authorId="0">
      <text>
        <r>
          <rPr>
            <sz val="9"/>
            <rFont val="Tahoma"/>
            <charset val="134"/>
          </rPr>
          <t>Override d_boost_mode.  00b/01b=normal, 10b=low, 11b=high.</t>
        </r>
      </text>
    </comment>
    <comment ref="R81" authorId="0">
      <text>
        <r>
          <rPr>
            <sz val="9"/>
            <rFont val="Tahoma"/>
            <charset val="134"/>
          </rPr>
          <t>Override d_cp_discharge.  00b/01b=normal, 10b=low, 11b=high.</t>
        </r>
      </text>
    </comment>
    <comment ref="T81" authorId="0">
      <text>
        <r>
          <rPr>
            <sz val="9"/>
            <rFont val="Tahoma"/>
            <charset val="134"/>
          </rPr>
          <t>Override d_ratio[1].  00b/01b=normal, 10b=low, 11b=high.</t>
        </r>
      </text>
    </comment>
    <comment ref="V81" authorId="0">
      <text>
        <r>
          <rPr>
            <sz val="9"/>
            <rFont val="Tahoma"/>
            <charset val="134"/>
          </rPr>
          <t>Override d_ratio[0].  00b/01b=normal, 10b=low, 11b=high.</t>
        </r>
      </text>
    </comment>
    <comment ref="X81" authorId="0">
      <text>
        <r>
          <rPr>
            <sz val="9"/>
            <rFont val="Tahoma"/>
            <charset val="134"/>
          </rPr>
          <t>Override d_boost_mode.  00b/01b=normal, 10b=low, 11b=high.</t>
        </r>
      </text>
    </comment>
    <comment ref="H82" authorId="0">
      <text>
        <r>
          <rPr>
            <sz val="9"/>
            <rFont val="Tahoma"/>
            <charset val="134"/>
          </rPr>
          <t>Override d_en_cp.  00b/01b=normal, 10b=low, 11b=high.</t>
        </r>
      </text>
    </comment>
    <comment ref="J82" authorId="0">
      <text>
        <r>
          <rPr>
            <sz val="9"/>
            <rFont val="Tahoma"/>
            <charset val="134"/>
          </rPr>
          <t>Override d_cp_state[2].  00b/01b=normal, 10b=low, 11b=high.</t>
        </r>
      </text>
    </comment>
    <comment ref="L82" authorId="0">
      <text>
        <r>
          <rPr>
            <sz val="9"/>
            <rFont val="Tahoma"/>
            <charset val="134"/>
          </rPr>
          <t>Override d_cp_state[1].  00b/01b=normal, 10b=low, 11b=high.</t>
        </r>
      </text>
    </comment>
    <comment ref="N82" authorId="0">
      <text>
        <r>
          <rPr>
            <sz val="9"/>
            <rFont val="Tahoma"/>
            <charset val="134"/>
          </rPr>
          <t>Override d_cp_state[0].  00b/01b=normal, 10b=low, 11b=high.</t>
        </r>
      </text>
    </comment>
    <comment ref="R82" authorId="0">
      <text>
        <r>
          <rPr>
            <sz val="9"/>
            <rFont val="Tahoma"/>
            <charset val="134"/>
          </rPr>
          <t>Override d_en_cp.  00b/01b=normal, 10b=low, 11b=high.</t>
        </r>
      </text>
    </comment>
    <comment ref="T82" authorId="0">
      <text>
        <r>
          <rPr>
            <sz val="9"/>
            <rFont val="Tahoma"/>
            <charset val="134"/>
          </rPr>
          <t>Override d_cp_state[2].  00b/01b=normal, 10b=low, 11b=high.</t>
        </r>
      </text>
    </comment>
    <comment ref="V82" authorId="0">
      <text>
        <r>
          <rPr>
            <sz val="9"/>
            <rFont val="Tahoma"/>
            <charset val="134"/>
          </rPr>
          <t>Override d_cp_state[1].  00b/01b=normal, 10b=low, 11b=high.</t>
        </r>
      </text>
    </comment>
    <comment ref="X82" authorId="0">
      <text>
        <r>
          <rPr>
            <sz val="9"/>
            <rFont val="Tahoma"/>
            <charset val="134"/>
          </rPr>
          <t>Override d_cp_state[0].  00b/01b=normal, 10b=low, 11b=high.</t>
        </r>
      </text>
    </comment>
    <comment ref="H83" authorId="0">
      <text>
        <r>
          <rPr>
            <sz val="9"/>
            <rFont val="Tahoma"/>
            <charset val="134"/>
          </rPr>
          <t>Override d_pgood_pd_n.  00b/01b=normal, 10b=low, 11b=high.</t>
        </r>
      </text>
    </comment>
    <comment ref="J83" authorId="0">
      <text>
        <r>
          <rPr>
            <sz val="9"/>
            <rFont val="Tahoma"/>
            <charset val="134"/>
          </rPr>
          <t>Override d_pgood_valid.  00b/01b=normal, 10b=low, 11b=high.</t>
        </r>
      </text>
    </comment>
    <comment ref="L83" authorId="0">
      <text>
        <r>
          <rPr>
            <sz val="9"/>
            <rFont val="Tahoma"/>
            <charset val="134"/>
          </rPr>
          <t>Override d_pgate_en.  00b/01b=normal, 10b=low, 11b=high.</t>
        </r>
      </text>
    </comment>
    <comment ref="N83" authorId="0">
      <text>
        <r>
          <rPr>
            <sz val="9"/>
            <rFont val="Tahoma"/>
            <charset val="134"/>
          </rPr>
          <t>Override d_en_digital.  00b/01b=normal, 10b=low, 11b=high.</t>
        </r>
      </text>
    </comment>
    <comment ref="R83" authorId="0">
      <text>
        <r>
          <rPr>
            <sz val="9"/>
            <rFont val="Tahoma"/>
            <charset val="134"/>
          </rPr>
          <t>Override d_pgood_pd_n.  00b/01b=normal, 10b=low, 11b=high.</t>
        </r>
      </text>
    </comment>
    <comment ref="T83" authorId="0">
      <text>
        <r>
          <rPr>
            <sz val="9"/>
            <rFont val="Tahoma"/>
            <charset val="134"/>
          </rPr>
          <t>Override d_pgood_valid.  00b/01b=normal, 10b=low, 11b=high.</t>
        </r>
      </text>
    </comment>
    <comment ref="V83" authorId="0">
      <text>
        <r>
          <rPr>
            <sz val="9"/>
            <rFont val="Tahoma"/>
            <charset val="134"/>
          </rPr>
          <t>Override d_pgate_en.  00b/01b=normal, 10b=low, 11b=high.</t>
        </r>
      </text>
    </comment>
    <comment ref="X83" authorId="0">
      <text>
        <r>
          <rPr>
            <sz val="9"/>
            <rFont val="Tahoma"/>
            <charset val="134"/>
          </rPr>
          <t>Override d_en_digital.  00b/01b=normal, 10b=low, 11b=high.</t>
        </r>
      </text>
    </comment>
    <comment ref="H84" authorId="0">
      <text>
        <r>
          <rPr>
            <sz val="9"/>
            <rFont val="Tahoma"/>
            <charset val="134"/>
          </rPr>
          <t>Override d_softsw. 00b/01b=normal, 10b=low, 11b=high.</t>
        </r>
      </text>
    </comment>
    <comment ref="J84" authorId="0">
      <text>
        <r>
          <rPr>
            <sz val="9"/>
            <rFont val="Tahoma"/>
            <charset val="134"/>
          </rPr>
          <t>Override d_dig_read. 00b/01b=normal, 10b=low, 11b=high.</t>
        </r>
      </text>
    </comment>
    <comment ref="L84" authorId="0">
      <text>
        <r>
          <rPr>
            <sz val="9"/>
            <rFont val="Tahoma"/>
            <charset val="134"/>
          </rPr>
          <t>Override d_cpclkm_start.  00b/01b=normal, 10b=low, 11b=high.</t>
        </r>
      </text>
    </comment>
    <comment ref="N84" authorId="0">
      <text>
        <r>
          <rPr>
            <sz val="9"/>
            <rFont val="Tahoma"/>
            <charset val="134"/>
          </rPr>
          <t>Override d_cpclkm_en.  00b/01b=normal, 10b=low, 11b=high.</t>
        </r>
      </text>
    </comment>
    <comment ref="R84" authorId="0">
      <text>
        <r>
          <rPr>
            <sz val="9"/>
            <rFont val="Tahoma"/>
            <charset val="134"/>
          </rPr>
          <t>Override d_softsw. 00b/01b=normal, 10b=low, 11b=high.</t>
        </r>
      </text>
    </comment>
    <comment ref="T84" authorId="0">
      <text>
        <r>
          <rPr>
            <sz val="9"/>
            <rFont val="Tahoma"/>
            <charset val="134"/>
          </rPr>
          <t>Override d_dig_read. 00b/01b=normal, 10b=low, 11b=high.</t>
        </r>
      </text>
    </comment>
    <comment ref="V84" authorId="0">
      <text>
        <r>
          <rPr>
            <sz val="9"/>
            <rFont val="Tahoma"/>
            <charset val="134"/>
          </rPr>
          <t>Override d_cpclkm_start.  00b/01b=normal, 10b=low, 11b=high.</t>
        </r>
      </text>
    </comment>
    <comment ref="X84" authorId="0">
      <text>
        <r>
          <rPr>
            <sz val="9"/>
            <rFont val="Tahoma"/>
            <charset val="134"/>
          </rPr>
          <t>Override d_cpclkm_en.  00b/01b=normal, 10b=low, 11b=high.</t>
        </r>
      </text>
    </comment>
    <comment ref="N85" authorId="0">
      <text>
        <r>
          <rPr>
            <sz val="9"/>
            <rFont val="Tahoma"/>
            <charset val="134"/>
          </rPr>
          <t>Enable forcing MAIN state machine into state defined by TM_STATE1.MAIN.</t>
        </r>
      </text>
    </comment>
    <comment ref="O85" authorId="0">
      <text>
        <r>
          <rPr>
            <sz val="9"/>
            <rFont val="Tahoma"/>
            <charset val="134"/>
          </rPr>
          <t>Enable forcing PWR state machine into state defined by TM_STATE1.PWR.</t>
        </r>
      </text>
    </comment>
    <comment ref="X85" authorId="0">
      <text>
        <r>
          <rPr>
            <sz val="9"/>
            <rFont val="Tahoma"/>
            <charset val="134"/>
          </rPr>
          <t>Enable forcing MAIN state machine into state defined by TM_STATE1.MAIN.</t>
        </r>
      </text>
    </comment>
    <comment ref="Y85" authorId="0">
      <text>
        <r>
          <rPr>
            <sz val="9"/>
            <rFont val="Tahoma"/>
            <charset val="134"/>
          </rPr>
          <t>Enable forcing PWR state machine into state defined by TM_STATE1.PWR.</t>
        </r>
      </text>
    </comment>
    <comment ref="H86" authorId="0">
      <text>
        <r>
          <rPr>
            <sz val="9"/>
            <rFont val="Tahoma"/>
            <charset val="134"/>
          </rPr>
          <t>MAIN state variable force value.  When TM_STATE0.MAIN is set the MAIN state machine will be forced using this value.</t>
        </r>
      </text>
    </comment>
    <comment ref="K86" authorId="0">
      <text>
        <r>
          <rPr>
            <sz val="9"/>
            <rFont val="Tahoma"/>
            <charset val="134"/>
          </rPr>
          <t>PWR state variable force value.  When TM_STATE0.PWR is set this the PWR state machine will be forced using this value.</t>
        </r>
      </text>
    </comment>
    <comment ref="R86" authorId="0">
      <text>
        <r>
          <rPr>
            <sz val="9"/>
            <rFont val="Tahoma"/>
            <charset val="134"/>
          </rPr>
          <t>MAIN state variable force value.  When TM_STATE0.MAIN is set the MAIN state machine will be forced using this value.</t>
        </r>
      </text>
    </comment>
    <comment ref="U86" authorId="0">
      <text>
        <r>
          <rPr>
            <sz val="9"/>
            <rFont val="Tahoma"/>
            <charset val="134"/>
          </rPr>
          <t>PWR state variable force value.  When TM_STATE0.PWR is set this the PWR state machine will be forced using this value.</t>
        </r>
      </text>
    </comment>
    <comment ref="O87" authorId="0">
      <text>
        <r>
          <rPr>
            <sz val="9"/>
            <rFont val="Tahoma"/>
            <charset val="134"/>
          </rPr>
          <t>Request refresh of CP-clock period configuration measurement</t>
        </r>
      </text>
    </comment>
    <comment ref="Y87" authorId="0">
      <text>
        <r>
          <rPr>
            <sz val="9"/>
            <rFont val="Tahoma"/>
            <charset val="134"/>
          </rPr>
          <t>Request refresh of CP-clock period configuration measurement</t>
        </r>
      </text>
    </comment>
    <comment ref="H88" authorId="0">
      <text>
        <r>
          <rPr>
            <sz val="9"/>
            <rFont val="Tahoma"/>
            <charset val="134"/>
          </rPr>
          <t>a_cpclkm_out signal from analog domain.</t>
        </r>
      </text>
    </comment>
    <comment ref="L88" authorId="0">
      <text>
        <r>
          <rPr>
            <sz val="9"/>
            <rFont val="Tahoma"/>
            <charset val="134"/>
          </rPr>
          <t>CP-clock measurement failed due to an over-flow condition.  An overflow can be occur in the measuring counter or in the post-measure adjustment math.</t>
        </r>
      </text>
    </comment>
    <comment ref="M88" authorId="0">
      <text>
        <r>
          <rPr>
            <sz val="9"/>
            <rFont val="Tahoma"/>
            <charset val="134"/>
          </rPr>
          <t>CP-clock measured period is too long</t>
        </r>
      </text>
    </comment>
    <comment ref="N88" authorId="0">
      <text>
        <r>
          <rPr>
            <sz val="9"/>
            <rFont val="Tahoma"/>
            <charset val="134"/>
          </rPr>
          <t>CP-clock measured period is too short</t>
        </r>
      </text>
    </comment>
    <comment ref="O88" authorId="0">
      <text>
        <r>
          <rPr>
            <sz val="9"/>
            <rFont val="Tahoma"/>
            <charset val="134"/>
          </rPr>
          <t>Refresh CP-clock period configuration measurement completed</t>
        </r>
      </text>
    </comment>
    <comment ref="R88" authorId="0">
      <text>
        <r>
          <rPr>
            <sz val="9"/>
            <rFont val="Tahoma"/>
            <charset val="134"/>
          </rPr>
          <t>a_cpclkm_out signal from analog domain.</t>
        </r>
      </text>
    </comment>
    <comment ref="V88" authorId="0">
      <text>
        <r>
          <rPr>
            <sz val="9"/>
            <rFont val="Tahoma"/>
            <charset val="134"/>
          </rPr>
          <t>CP-clock measurement failed due to an over-flow condition.  An overflow can be occur in the measuring counter or in the post-measure adjustment math.</t>
        </r>
      </text>
    </comment>
    <comment ref="W88" authorId="0">
      <text>
        <r>
          <rPr>
            <sz val="9"/>
            <rFont val="Tahoma"/>
            <charset val="134"/>
          </rPr>
          <t>CP-clock measured period is too long</t>
        </r>
      </text>
    </comment>
    <comment ref="X88" authorId="0">
      <text>
        <r>
          <rPr>
            <sz val="9"/>
            <rFont val="Tahoma"/>
            <charset val="134"/>
          </rPr>
          <t>CP-clock measured period is too short</t>
        </r>
      </text>
    </comment>
    <comment ref="Y88" authorId="0">
      <text>
        <r>
          <rPr>
            <sz val="9"/>
            <rFont val="Tahoma"/>
            <charset val="134"/>
          </rPr>
          <t>Refresh CP-clock period configuration measurement completed</t>
        </r>
      </text>
    </comment>
    <comment ref="K89" authorId="0">
      <text>
        <r>
          <rPr>
            <sz val="9"/>
            <rFont val="Tahoma"/>
            <charset val="134"/>
          </rPr>
          <t>Enable Error Correction Code (ECC) generation and checking.</t>
        </r>
      </text>
    </comment>
    <comment ref="N89" authorId="0">
      <text>
        <r>
          <rPr>
            <sz val="9"/>
            <rFont val="Tahoma"/>
            <charset val="134"/>
          </rPr>
          <t>Encoded OTP access size (in bytes):  00b=1, 01b=2, 10b=4, 11b=8.</t>
        </r>
      </text>
    </comment>
    <comment ref="U89" authorId="0">
      <text>
        <r>
          <rPr>
            <sz val="9"/>
            <rFont val="Tahoma"/>
            <charset val="134"/>
          </rPr>
          <t>Enable Error Correction Code (ECC) generation and checking.</t>
        </r>
      </text>
    </comment>
    <comment ref="X89" authorId="0">
      <text>
        <r>
          <rPr>
            <sz val="9"/>
            <rFont val="Tahoma"/>
            <charset val="134"/>
          </rPr>
          <t>Encoded OTP access size (in bytes):  00b=1, 01b=2, 10b=4, 11b=8.</t>
        </r>
      </text>
    </comment>
    <comment ref="I90" authorId="0">
      <text>
        <r>
          <rPr>
            <sz val="9"/>
            <rFont val="Tahoma"/>
            <charset val="134"/>
          </rPr>
          <t>OTP row address (may be internally truncated as multi-row OTP accesses are always aligned).</t>
        </r>
      </text>
    </comment>
    <comment ref="S90" authorId="0">
      <text>
        <r>
          <rPr>
            <sz val="9"/>
            <rFont val="Tahoma"/>
            <charset val="134"/>
          </rPr>
          <t>OTP row address (may be internally truncated as multi-row OTP accesses are always aligned).</t>
        </r>
      </text>
    </comment>
    <comment ref="H91" authorId="0">
      <text>
        <r>
          <rPr>
            <sz val="9"/>
            <rFont val="Tahoma"/>
            <charset val="134"/>
          </rPr>
          <t>Repeatedly execute the requested command</t>
        </r>
      </text>
    </comment>
    <comment ref="J91" authorId="0">
      <text>
        <r>
          <rPr>
            <sz val="9"/>
            <rFont val="Tahoma"/>
            <charset val="134"/>
          </rPr>
          <t>Index of starting OTP page to load.  Allows having multiple valid pages in OTP.</t>
        </r>
      </text>
    </comment>
    <comment ref="M91" authorId="0">
      <text>
        <r>
          <rPr>
            <sz val="9"/>
            <rFont val="Tahoma"/>
            <charset val="134"/>
          </rPr>
          <t>OTP reload command (must be manually cleared after NVM_STATUS.RELOAD_DONE).</t>
        </r>
      </text>
    </comment>
    <comment ref="N91" authorId="0">
      <text>
        <r>
          <rPr>
            <sz val="9"/>
            <rFont val="Tahoma"/>
            <charset val="134"/>
          </rPr>
          <t>OTP read command (must be manually cleared after NVM_STATUS.READ_DONE).</t>
        </r>
      </text>
    </comment>
    <comment ref="O91" authorId="0">
      <text>
        <r>
          <rPr>
            <sz val="9"/>
            <rFont val="Tahoma"/>
            <charset val="134"/>
          </rPr>
          <t>OTP write command (must be manually cleared after NVM_STATUS.WRITE_DONE).</t>
        </r>
      </text>
    </comment>
    <comment ref="R91" authorId="0">
      <text>
        <r>
          <rPr>
            <sz val="9"/>
            <rFont val="Tahoma"/>
            <charset val="134"/>
          </rPr>
          <t>Repeatedly execute the requested command</t>
        </r>
      </text>
    </comment>
    <comment ref="T91" authorId="0">
      <text>
        <r>
          <rPr>
            <sz val="9"/>
            <rFont val="Tahoma"/>
            <charset val="134"/>
          </rPr>
          <t>Index of starting OTP page to load.  Allows having multiple valid pages in OTP.</t>
        </r>
      </text>
    </comment>
    <comment ref="W91" authorId="0">
      <text>
        <r>
          <rPr>
            <sz val="9"/>
            <rFont val="Tahoma"/>
            <charset val="134"/>
          </rPr>
          <t>OTP reload command (must be manually cleared after NVM_STATUS.RELOAD_DONE).</t>
        </r>
      </text>
    </comment>
    <comment ref="X91" authorId="0">
      <text>
        <r>
          <rPr>
            <sz val="9"/>
            <rFont val="Tahoma"/>
            <charset val="134"/>
          </rPr>
          <t>OTP read command (must be manually cleared after NVM_STATUS.READ_DONE).</t>
        </r>
      </text>
    </comment>
    <comment ref="Y91" authorId="0">
      <text>
        <r>
          <rPr>
            <sz val="9"/>
            <rFont val="Tahoma"/>
            <charset val="134"/>
          </rPr>
          <t>OTP write command (must be manually cleared after NVM_STATUS.WRITE_DONE).</t>
        </r>
      </text>
    </comment>
    <comment ref="H92" authorId="0">
      <text>
        <r>
          <rPr>
            <sz val="9"/>
            <rFont val="Tahoma"/>
            <charset val="134"/>
          </rPr>
          <t>An uncorrected dual-bit error was detected while loading from the current OTP page.  Shadow registers cannot be trusted to contain valid data.</t>
        </r>
      </text>
    </comment>
    <comment ref="I92" authorId="0">
      <text>
        <r>
          <rPr>
            <sz val="9"/>
            <rFont val="Tahoma"/>
            <charset val="134"/>
          </rPr>
          <t>At least one single-bit error was detected and corrected while loading shadow registers from the current OTP page.</t>
        </r>
      </text>
    </comment>
    <comment ref="J92" authorId="0">
      <text>
        <r>
          <rPr>
            <sz val="9"/>
            <rFont val="Tahoma"/>
            <charset val="134"/>
          </rPr>
          <t>Index of final loaded page from OTP.  NVM_STATUS.LOAD_ERR bit indicates if load was successful.</t>
        </r>
      </text>
    </comment>
    <comment ref="L92" authorId="0">
      <text>
        <r>
          <rPr>
            <sz val="9"/>
            <rFont val="Tahoma"/>
            <charset val="134"/>
          </rPr>
          <t>Unable to load shadow registers without error.</t>
        </r>
      </text>
    </comment>
    <comment ref="M92" authorId="0">
      <text>
        <r>
          <rPr>
            <sz val="9"/>
            <rFont val="Tahoma"/>
            <charset val="134"/>
          </rPr>
          <t>OTP reload command done (automatically cleared on NVM_CMD.RELOAD_CMD=0).</t>
        </r>
      </text>
    </comment>
    <comment ref="N92" authorId="0">
      <text>
        <r>
          <rPr>
            <sz val="9"/>
            <rFont val="Tahoma"/>
            <charset val="134"/>
          </rPr>
          <t>OTP read command done (automatically cleared on NVM_CMD.READ_CMD=0).</t>
        </r>
      </text>
    </comment>
    <comment ref="O92" authorId="0">
      <text>
        <r>
          <rPr>
            <sz val="9"/>
            <rFont val="Tahoma"/>
            <charset val="134"/>
          </rPr>
          <t>OTP write command done (automatically cleared on NVM_CMD.WRITE_CMD=0).</t>
        </r>
      </text>
    </comment>
    <comment ref="R92" authorId="0">
      <text>
        <r>
          <rPr>
            <sz val="9"/>
            <rFont val="Tahoma"/>
            <charset val="134"/>
          </rPr>
          <t>An uncorrected dual-bit error was detected while loading from the current OTP page.  Shadow registers cannot be trusted to contain valid data.</t>
        </r>
      </text>
    </comment>
    <comment ref="S92" authorId="0">
      <text>
        <r>
          <rPr>
            <sz val="9"/>
            <rFont val="Tahoma"/>
            <charset val="134"/>
          </rPr>
          <t>At least one single-bit error was detected and corrected while loading shadow registers from the current OTP page.</t>
        </r>
      </text>
    </comment>
    <comment ref="T92" authorId="0">
      <text>
        <r>
          <rPr>
            <sz val="9"/>
            <rFont val="Tahoma"/>
            <charset val="134"/>
          </rPr>
          <t>Index of final loaded page from OTP.  NVM_STATUS.LOAD_ERR bit indicates if load was successful.</t>
        </r>
      </text>
    </comment>
    <comment ref="V92" authorId="0">
      <text>
        <r>
          <rPr>
            <sz val="9"/>
            <rFont val="Tahoma"/>
            <charset val="134"/>
          </rPr>
          <t>Unable to load shadow registers without error.</t>
        </r>
      </text>
    </comment>
    <comment ref="W92" authorId="0">
      <text>
        <r>
          <rPr>
            <sz val="9"/>
            <rFont val="Tahoma"/>
            <charset val="134"/>
          </rPr>
          <t>OTP reload command done (automatically cleared on NVM_CMD.RELOAD_CMD=0).</t>
        </r>
      </text>
    </comment>
    <comment ref="X92" authorId="0">
      <text>
        <r>
          <rPr>
            <sz val="9"/>
            <rFont val="Tahoma"/>
            <charset val="134"/>
          </rPr>
          <t>OTP read command done (automatically cleared on NVM_CMD.READ_CMD=0).</t>
        </r>
      </text>
    </comment>
    <comment ref="Y92" authorId="0">
      <text>
        <r>
          <rPr>
            <sz val="9"/>
            <rFont val="Tahoma"/>
            <charset val="134"/>
          </rPr>
          <t>OTP write command done (automatically cleared on NVM_CMD.WRITE_CMD=0).</t>
        </r>
      </text>
    </comment>
    <comment ref="H93" authorId="0">
      <text>
        <r>
          <rPr>
            <sz val="9"/>
            <rFont val="Tahoma"/>
            <charset val="134"/>
          </rPr>
          <t>Manually extend assertion of the OTP PWE signal (write pulse).</t>
        </r>
      </text>
    </comment>
    <comment ref="I93" authorId="0">
      <text>
        <r>
          <rPr>
            <sz val="9"/>
            <rFont val="Tahoma"/>
            <charset val="134"/>
          </rPr>
          <t>Manually extend assertion of the OTP PRD signal (read pulse).</t>
        </r>
      </text>
    </comment>
    <comment ref="L93" authorId="0">
      <text>
        <r>
          <rPr>
            <sz val="9"/>
            <rFont val="Tahoma"/>
            <charset val="134"/>
          </rPr>
          <t>Manual, direct control of the OTP PTM[1:0] signal bus.</t>
        </r>
      </text>
    </comment>
    <comment ref="O93" authorId="0">
      <text>
        <r>
          <rPr>
            <sz val="9"/>
            <rFont val="Tahoma"/>
            <charset val="134"/>
          </rPr>
          <t>Manual, direct control of the OTP PPROG signal.</t>
        </r>
      </text>
    </comment>
    <comment ref="R93" authorId="0">
      <text>
        <r>
          <rPr>
            <sz val="9"/>
            <rFont val="Tahoma"/>
            <charset val="134"/>
          </rPr>
          <t>Manually extend assertion of the OTP PWE signal (write pulse).</t>
        </r>
      </text>
    </comment>
    <comment ref="S93" authorId="0">
      <text>
        <r>
          <rPr>
            <sz val="9"/>
            <rFont val="Tahoma"/>
            <charset val="134"/>
          </rPr>
          <t>Manually extend assertion of the OTP PRD signal (read pulse).</t>
        </r>
      </text>
    </comment>
    <comment ref="V93" authorId="0">
      <text>
        <r>
          <rPr>
            <sz val="9"/>
            <rFont val="Tahoma"/>
            <charset val="134"/>
          </rPr>
          <t>Manual, direct control of the OTP PTM[1:0] signal bus.</t>
        </r>
      </text>
    </comment>
    <comment ref="Y93" authorId="0">
      <text>
        <r>
          <rPr>
            <sz val="9"/>
            <rFont val="Tahoma"/>
            <charset val="134"/>
          </rPr>
          <t>Manual, direct control of the OTP PPROG signal.</t>
        </r>
      </text>
    </comment>
    <comment ref="O94" authorId="0">
      <text>
        <r>
          <rPr>
            <sz val="9"/>
            <rFont val="Tahoma"/>
            <charset val="134"/>
          </rPr>
          <t>VPP switch select:  0=5V, 1=7.5V</t>
        </r>
      </text>
    </comment>
    <comment ref="Y94" authorId="0">
      <text>
        <r>
          <rPr>
            <sz val="9"/>
            <rFont val="Tahoma"/>
            <charset val="134"/>
          </rPr>
          <t>VPP switch select:  0=5V, 1=7.5V</t>
        </r>
      </text>
    </comment>
    <comment ref="H95" authorId="0">
      <text>
        <r>
          <rPr>
            <sz val="9"/>
            <rFont val="Tahoma"/>
            <charset val="134"/>
          </rPr>
          <t>OTP write pulse time</t>
        </r>
      </text>
    </comment>
    <comment ref="R95" authorId="0">
      <text>
        <r>
          <rPr>
            <sz val="9"/>
            <rFont val="Tahoma"/>
            <charset val="134"/>
          </rPr>
          <t>OTP write pulse time</t>
        </r>
      </text>
    </comment>
    <comment ref="H96" authorId="0">
      <text>
        <r>
          <rPr>
            <sz val="9"/>
            <rFont val="Tahoma"/>
            <charset val="134"/>
          </rPr>
          <t>OTP write pulse time</t>
        </r>
      </text>
    </comment>
    <comment ref="R96" authorId="0">
      <text>
        <r>
          <rPr>
            <sz val="9"/>
            <rFont val="Tahoma"/>
            <charset val="134"/>
          </rPr>
          <t>OTP write pulse time</t>
        </r>
      </text>
    </comment>
    <comment ref="H97" authorId="0">
      <text>
        <r>
          <rPr>
            <sz val="9"/>
            <rFont val="Tahoma"/>
            <charset val="134"/>
          </rPr>
          <t>Byte-0 of the 64-bit ECC buffer (for OTP write, read and reload operations).</t>
        </r>
      </text>
    </comment>
    <comment ref="R97" authorId="0">
      <text>
        <r>
          <rPr>
            <sz val="9"/>
            <rFont val="Tahoma"/>
            <charset val="134"/>
          </rPr>
          <t>Byte-0 of the 64-bit ECC buffer (for OTP write, read and reload operations).</t>
        </r>
      </text>
    </comment>
    <comment ref="H98" authorId="0">
      <text>
        <r>
          <rPr>
            <sz val="9"/>
            <rFont val="Tahoma"/>
            <charset val="134"/>
          </rPr>
          <t>Byte-1 of the 64-bit ECC buffer (for OTP write, read and reload operations).</t>
        </r>
      </text>
    </comment>
    <comment ref="R98" authorId="0">
      <text>
        <r>
          <rPr>
            <sz val="9"/>
            <rFont val="Tahoma"/>
            <charset val="134"/>
          </rPr>
          <t>Byte-1 of the 64-bit ECC buffer (for OTP write, read and reload operations).</t>
        </r>
      </text>
    </comment>
    <comment ref="H99" authorId="0">
      <text>
        <r>
          <rPr>
            <sz val="9"/>
            <rFont val="Tahoma"/>
            <charset val="134"/>
          </rPr>
          <t>Byte-2 of the 64-bit ECC buffer (for OTP write, read and reload operations).</t>
        </r>
      </text>
    </comment>
    <comment ref="R99" authorId="0">
      <text>
        <r>
          <rPr>
            <sz val="9"/>
            <rFont val="Tahoma"/>
            <charset val="134"/>
          </rPr>
          <t>Byte-2 of the 64-bit ECC buffer (for OTP write, read and reload operations).</t>
        </r>
      </text>
    </comment>
    <comment ref="H100" authorId="0">
      <text>
        <r>
          <rPr>
            <sz val="9"/>
            <rFont val="Tahoma"/>
            <charset val="134"/>
          </rPr>
          <t>Byte-3 of the 64-bit ECC buffer(for OTP write, read and reload operations).</t>
        </r>
      </text>
    </comment>
    <comment ref="R100" authorId="0">
      <text>
        <r>
          <rPr>
            <sz val="9"/>
            <rFont val="Tahoma"/>
            <charset val="134"/>
          </rPr>
          <t>Byte-3 of the 64-bit ECC buffer(for OTP write, read and reload operations).</t>
        </r>
      </text>
    </comment>
    <comment ref="H101" authorId="0">
      <text>
        <r>
          <rPr>
            <sz val="9"/>
            <rFont val="Tahoma"/>
            <charset val="134"/>
          </rPr>
          <t>Byte-4 of the 64-bit ECC buffer (for OTP write, read and reload operations).</t>
        </r>
      </text>
    </comment>
    <comment ref="R101" authorId="0">
      <text>
        <r>
          <rPr>
            <sz val="9"/>
            <rFont val="Tahoma"/>
            <charset val="134"/>
          </rPr>
          <t>Byte-4 of the 64-bit ECC buffer (for OTP write, read and reload operations).</t>
        </r>
      </text>
    </comment>
    <comment ref="H102" authorId="0">
      <text>
        <r>
          <rPr>
            <sz val="9"/>
            <rFont val="Tahoma"/>
            <charset val="134"/>
          </rPr>
          <t>Byte-5 of the 64-bit ECC buffer (for OTP write, read and reload operations).</t>
        </r>
      </text>
    </comment>
    <comment ref="R102" authorId="0">
      <text>
        <r>
          <rPr>
            <sz val="9"/>
            <rFont val="Tahoma"/>
            <charset val="134"/>
          </rPr>
          <t>Byte-5 of the 64-bit ECC buffer (for OTP write, read and reload operations).</t>
        </r>
      </text>
    </comment>
    <comment ref="H103" authorId="0">
      <text>
        <r>
          <rPr>
            <sz val="9"/>
            <rFont val="Tahoma"/>
            <charset val="134"/>
          </rPr>
          <t>Byte-6 of the 64-bit ECC buffer(for OTP write, read and reload operations).</t>
        </r>
      </text>
    </comment>
    <comment ref="R103" authorId="0">
      <text>
        <r>
          <rPr>
            <sz val="9"/>
            <rFont val="Tahoma"/>
            <charset val="134"/>
          </rPr>
          <t>Byte-6 of the 64-bit ECC buffer(for OTP write, read and reload operations).</t>
        </r>
      </text>
    </comment>
    <comment ref="H104" authorId="0">
      <text>
        <r>
          <rPr>
            <sz val="9"/>
            <rFont val="Tahoma"/>
            <charset val="134"/>
          </rPr>
          <t>Byte-7 of the 64-bit ECC buffer (for OTP write, read and reload operations).</t>
        </r>
      </text>
    </comment>
    <comment ref="R104" authorId="0">
      <text>
        <r>
          <rPr>
            <sz val="9"/>
            <rFont val="Tahoma"/>
            <charset val="134"/>
          </rPr>
          <t>Byte-7 of the 64-bit ECC buffer (for OTP write, read and reload operations).</t>
        </r>
      </text>
    </comment>
    <comment ref="H105" authorId="0">
      <text>
        <r>
          <rPr>
            <sz val="9"/>
            <rFont val="Tahoma"/>
            <charset val="134"/>
          </rPr>
          <t>Minor die revision code (typically for ECO, metal layer tape-outs)</t>
        </r>
      </text>
    </comment>
    <comment ref="L105" authorId="0">
      <text>
        <r>
          <rPr>
            <sz val="9"/>
            <rFont val="Tahoma"/>
            <charset val="134"/>
          </rPr>
          <t>Major die revision code (typically for full layer tape-outs)</t>
        </r>
      </text>
    </comment>
    <comment ref="R105" authorId="0">
      <text>
        <r>
          <rPr>
            <sz val="9"/>
            <rFont val="Tahoma"/>
            <charset val="134"/>
          </rPr>
          <t>Minor die revision code (typically for ECO, metal layer tape-outs)</t>
        </r>
      </text>
    </comment>
    <comment ref="V105" authorId="0">
      <text>
        <r>
          <rPr>
            <sz val="9"/>
            <rFont val="Tahoma"/>
            <charset val="134"/>
          </rPr>
          <t>Major die revision code (typically for full layer tape-outs)</t>
        </r>
      </text>
    </comment>
    <comment ref="H106" authorId="0">
      <text>
        <r>
          <rPr>
            <sz val="9"/>
            <rFont val="Tahoma"/>
            <charset val="134"/>
          </rPr>
          <t xml:space="preserve">Hardwired to 16h. </t>
        </r>
      </text>
    </comment>
    <comment ref="R106" authorId="0">
      <text>
        <r>
          <rPr>
            <sz val="9"/>
            <rFont val="Tahoma"/>
            <charset val="134"/>
          </rPr>
          <t xml:space="preserve">Hardwired to 16h. </t>
        </r>
      </text>
    </comment>
    <comment ref="H107" authorId="0">
      <text>
        <r>
          <rPr>
            <sz val="9"/>
            <rFont val="Tahoma"/>
            <charset val="134"/>
          </rPr>
          <t>Hardwired to 95h.</t>
        </r>
      </text>
    </comment>
    <comment ref="R107" authorId="0">
      <text>
        <r>
          <rPr>
            <sz val="9"/>
            <rFont val="Tahoma"/>
            <charset val="134"/>
          </rPr>
          <t>Hardwired to 95h.</t>
        </r>
      </text>
    </comment>
  </commentList>
</comments>
</file>

<file path=xl/comments2.xml><?xml version="1.0" encoding="utf-8"?>
<comments xmlns="http://schemas.openxmlformats.org/spreadsheetml/2006/main">
  <authors>
    <author>Robert Macomber</author>
  </authors>
  <commentList>
    <comment ref="H4" authorId="0">
      <text>
        <r>
          <rPr>
            <sz val="9"/>
            <rFont val="Tahoma"/>
            <charset val="134"/>
          </rPr>
          <t>Dual-bit error was detected when loading shadow registers from OTP.</t>
        </r>
      </text>
    </comment>
    <comment ref="I4" authorId="0">
      <text>
        <r>
          <rPr>
            <sz val="9"/>
            <rFont val="Tahoma"/>
            <charset val="134"/>
          </rPr>
          <t>Single-bit error was corrected when loading shadow registers from OTP.</t>
        </r>
      </text>
    </comment>
    <comment ref="J4" authorId="0">
      <text>
        <r>
          <rPr>
            <sz val="9"/>
            <rFont val="Tahoma"/>
            <charset val="134"/>
          </rPr>
          <t>PGATE on was triggered.</t>
        </r>
      </text>
    </comment>
    <comment ref="K4" authorId="0">
      <text>
        <r>
          <rPr>
            <sz val="9"/>
            <rFont val="Tahoma"/>
            <charset val="134"/>
          </rPr>
          <t>Thermal shutdown was triggered.</t>
        </r>
      </text>
    </comment>
    <comment ref="L4" authorId="0">
      <text>
        <r>
          <rPr>
            <sz val="9"/>
            <rFont val="Tahoma"/>
            <charset val="134"/>
          </rPr>
          <t>CP input current limit was triggered.</t>
        </r>
      </text>
    </comment>
    <comment ref="M4" authorId="0">
      <text>
        <r>
          <rPr>
            <sz val="9"/>
            <rFont val="Tahoma"/>
            <charset val="134"/>
          </rPr>
          <t>CP zero current was detected.</t>
        </r>
      </text>
    </comment>
    <comment ref="N4" authorId="0">
      <text>
        <r>
          <rPr>
            <sz val="9"/>
            <rFont val="Tahoma"/>
            <charset val="134"/>
          </rPr>
          <t>PX Low condition was detected (latched version).</t>
        </r>
      </text>
    </comment>
    <comment ref="O4" authorId="0">
      <text>
        <r>
          <rPr>
            <sz val="9"/>
            <rFont val="Tahoma"/>
            <charset val="134"/>
          </rPr>
          <t>PX Low condition was detected (raw version).</t>
        </r>
      </text>
    </comment>
    <comment ref="J5" authorId="0">
      <text>
        <r>
          <rPr>
            <sz val="9"/>
            <rFont val="Tahoma"/>
            <charset val="134"/>
          </rPr>
          <t>VOUT_FAULT was detected.</t>
        </r>
      </text>
    </comment>
    <comment ref="K5" authorId="0">
      <text>
        <r>
          <rPr>
            <sz val="9"/>
            <rFont val="Tahoma"/>
            <charset val="134"/>
          </rPr>
          <t>VCD_OK was detected.</t>
        </r>
      </text>
    </comment>
    <comment ref="L5" authorId="0">
      <text>
        <r>
          <rPr>
            <sz val="9"/>
            <rFont val="Tahoma"/>
            <charset val="134"/>
          </rPr>
          <t>VCC_OK was detected.</t>
        </r>
      </text>
    </comment>
    <comment ref="M5" authorId="0">
      <text>
        <r>
          <rPr>
            <sz val="9"/>
            <rFont val="Tahoma"/>
            <charset val="134"/>
          </rPr>
          <t>VCB OK was detected.</t>
        </r>
      </text>
    </comment>
    <comment ref="N5" authorId="0">
      <text>
        <r>
          <rPr>
            <sz val="9"/>
            <rFont val="Tahoma"/>
            <charset val="134"/>
          </rPr>
          <t>VOUT_OK was detected.</t>
        </r>
      </text>
    </comment>
    <comment ref="O5" authorId="0">
      <text>
        <r>
          <rPr>
            <sz val="9"/>
            <rFont val="Tahoma"/>
            <charset val="134"/>
          </rPr>
          <t>Vpower_OK was detected.</t>
        </r>
      </text>
    </comment>
    <comment ref="H6" authorId="0">
      <text>
        <r>
          <rPr>
            <sz val="9"/>
            <rFont val="Tahoma"/>
            <charset val="134"/>
          </rPr>
          <t>Dual-bit error was detected when loading shadow registers from OTP.</t>
        </r>
      </text>
    </comment>
    <comment ref="I6" authorId="0">
      <text>
        <r>
          <rPr>
            <sz val="9"/>
            <rFont val="Tahoma"/>
            <charset val="134"/>
          </rPr>
          <t>Single-bit error was corrected when loading shadow registers from OTP.</t>
        </r>
      </text>
    </comment>
    <comment ref="J6" authorId="0">
      <text>
        <r>
          <rPr>
            <sz val="9"/>
            <rFont val="Tahoma"/>
            <charset val="134"/>
          </rPr>
          <t>PGATE on condition is present.</t>
        </r>
      </text>
    </comment>
    <comment ref="K6" authorId="0">
      <text>
        <r>
          <rPr>
            <sz val="9"/>
            <rFont val="Tahoma"/>
            <charset val="134"/>
          </rPr>
          <t>Thermal shutdown condition is present.</t>
        </r>
      </text>
    </comment>
    <comment ref="L6" authorId="0">
      <text>
        <r>
          <rPr>
            <sz val="9"/>
            <rFont val="Tahoma"/>
            <charset val="134"/>
          </rPr>
          <t>CP input current limit condition is present.</t>
        </r>
      </text>
    </comment>
    <comment ref="M6" authorId="0">
      <text>
        <r>
          <rPr>
            <sz val="9"/>
            <rFont val="Tahoma"/>
            <charset val="134"/>
          </rPr>
          <t>CP zero current condition is present.</t>
        </r>
      </text>
    </comment>
    <comment ref="N6" authorId="0">
      <text>
        <r>
          <rPr>
            <sz val="9"/>
            <rFont val="Tahoma"/>
            <charset val="134"/>
          </rPr>
          <t>PX Low condition is present (latched version).</t>
        </r>
      </text>
    </comment>
    <comment ref="O6" authorId="0">
      <text>
        <r>
          <rPr>
            <sz val="9"/>
            <rFont val="Tahoma"/>
            <charset val="134"/>
          </rPr>
          <t>PX Low condition is present (raw version).</t>
        </r>
      </text>
    </comment>
    <comment ref="J7" authorId="0">
      <text>
        <r>
          <rPr>
            <sz val="9"/>
            <rFont val="Tahoma"/>
            <charset val="134"/>
          </rPr>
          <t>VOUT_OK is low in mission mode (active state).  This is normally a transient condition that will cause a transition to the HICCUP state.  It will be persistent if VOUT_OK is blanked.</t>
        </r>
      </text>
    </comment>
    <comment ref="K7" authorId="0">
      <text>
        <r>
          <rPr>
            <sz val="9"/>
            <rFont val="Tahoma"/>
            <charset val="134"/>
          </rPr>
          <t>VCD_OK condition is present.</t>
        </r>
      </text>
    </comment>
    <comment ref="L7" authorId="0">
      <text>
        <r>
          <rPr>
            <sz val="9"/>
            <rFont val="Tahoma"/>
            <charset val="134"/>
          </rPr>
          <t>VCC_OK condition is present.</t>
        </r>
      </text>
    </comment>
    <comment ref="M7" authorId="0">
      <text>
        <r>
          <rPr>
            <sz val="9"/>
            <rFont val="Tahoma"/>
            <charset val="134"/>
          </rPr>
          <t>VCB OK condition is present.</t>
        </r>
      </text>
    </comment>
    <comment ref="N7" authorId="0">
      <text>
        <r>
          <rPr>
            <sz val="9"/>
            <rFont val="Tahoma"/>
            <charset val="134"/>
          </rPr>
          <t>VOUT_OK condition is present.</t>
        </r>
      </text>
    </comment>
    <comment ref="O7" authorId="0">
      <text>
        <r>
          <rPr>
            <sz val="9"/>
            <rFont val="Tahoma"/>
            <charset val="134"/>
          </rPr>
          <t>Vpower_OK condition is present.</t>
        </r>
      </text>
    </comment>
    <comment ref="H8" authorId="0">
      <text>
        <r>
          <rPr>
            <sz val="9"/>
            <rFont val="Tahoma"/>
            <charset val="134"/>
          </rPr>
          <t>Main state machine state variable.</t>
        </r>
      </text>
    </comment>
    <comment ref="K8" authorId="0">
      <text>
        <r>
          <rPr>
            <sz val="9"/>
            <rFont val="Tahoma"/>
            <charset val="134"/>
          </rPr>
          <t>Power state machine state variable.</t>
        </r>
      </text>
    </comment>
    <comment ref="H9" authorId="0">
      <text>
        <r>
          <rPr>
            <sz val="9"/>
            <rFont val="Tahoma"/>
            <charset val="134"/>
          </rPr>
          <t>currently active CP clock period (lower 8 bits).</t>
        </r>
      </text>
    </comment>
    <comment ref="L10" authorId="0">
      <text>
        <r>
          <rPr>
            <sz val="9"/>
            <rFont val="Tahoma"/>
            <charset val="134"/>
          </rPr>
          <t>currently active CP clock period (upper 4 bits).</t>
        </r>
      </text>
    </comment>
    <comment ref="K11" authorId="0">
      <text>
        <r>
          <rPr>
            <sz val="9"/>
            <rFont val="Tahoma"/>
            <charset val="134"/>
          </rPr>
          <t>active boost mode setting.</t>
        </r>
      </text>
    </comment>
    <comment ref="N11" authorId="0">
      <text>
        <r>
          <rPr>
            <sz val="9"/>
            <rFont val="Tahoma"/>
            <charset val="134"/>
          </rPr>
          <t>active conversion ratio setting.</t>
        </r>
      </text>
    </comment>
    <comment ref="J12" authorId="0">
      <text>
        <r>
          <rPr>
            <sz val="9"/>
            <rFont val="Tahoma"/>
            <charset val="134"/>
          </rPr>
          <t>12MHz oscillator trim.  This is a signed field (-32 to +31).</t>
        </r>
      </text>
    </comment>
    <comment ref="J13" authorId="0">
      <text>
        <r>
          <rPr>
            <sz val="9"/>
            <rFont val="Tahoma"/>
            <charset val="134"/>
          </rPr>
          <t>Trim bias current reference.</t>
        </r>
      </text>
    </comment>
    <comment ref="J14" authorId="0">
      <text>
        <r>
          <rPr>
            <sz val="9"/>
            <rFont val="Tahoma"/>
            <charset val="134"/>
          </rPr>
          <t>Trim bandgap buffer voltage.</t>
        </r>
      </text>
    </comment>
    <comment ref="H15" authorId="0">
      <text>
        <r>
          <rPr>
            <sz val="9"/>
            <rFont val="Tahoma"/>
            <charset val="134"/>
          </rPr>
          <t>Trim bandgap voltage.</t>
        </r>
      </text>
    </comment>
    <comment ref="L16" authorId="0">
      <text>
        <r>
          <rPr>
            <sz val="9"/>
            <rFont val="Tahoma"/>
            <charset val="134"/>
          </rPr>
          <t>Trim thermal shutdown.</t>
        </r>
      </text>
    </comment>
    <comment ref="J17" authorId="0">
      <text>
        <r>
          <rPr>
            <sz val="9"/>
            <rFont val="Tahoma"/>
            <charset val="134"/>
          </rPr>
          <t>Trim CP current.</t>
        </r>
      </text>
    </comment>
    <comment ref="J18" authorId="0">
      <text>
        <r>
          <rPr>
            <sz val="9"/>
            <rFont val="Tahoma"/>
            <charset val="134"/>
          </rPr>
          <t>Trim CP zero current.</t>
        </r>
      </text>
    </comment>
    <comment ref="L19" authorId="0">
      <text>
        <r>
          <rPr>
            <sz val="9"/>
            <rFont val="Tahoma"/>
            <charset val="134"/>
          </rPr>
          <t>Spare CP trim bits.</t>
        </r>
      </text>
    </comment>
    <comment ref="H20" authorId="0">
      <text>
        <r>
          <rPr>
            <sz val="9"/>
            <rFont val="Tahoma"/>
            <charset val="134"/>
          </rPr>
          <t>Spare trim bits.</t>
        </r>
      </text>
    </comment>
    <comment ref="H21" authorId="0">
      <text>
        <r>
          <rPr>
            <sz val="9"/>
            <rFont val="Tahoma"/>
            <charset val="134"/>
          </rPr>
          <t>Charge pump configuration
[4:0] CS offset
[8:5] CS gain 2nd
[11:9] CS-gain 3rd
[15:12] reserved
[19:16] Vpower UVLO threshold select *1.75+M*0.05
[22:20] BBM_PH short delay
[25:23] BBM_PH long delay
[26] BBM_PH 0 = short delay, 1 = long delay
[29:27] BBM_CP short delay
[32:30] BBM_CP long delay
[33] BBM_CP 0 = short delay, 1 = long delay
[34] PD_ST000
[36:35] DeglitchSW 00=1ns, 01=2.1ns, 10=2.4ns, 11=4.5ns
[37]  Enable soft switch when entering BUCK mission mode
[38] Disable PD and PxOK detectors
[39] Enable PxOK detection
[42:40] SS rate for SW B
[45:43] SS rate for SW C
[48:46] SS rate for SW D
[51:49] SS rate for Phase
[53:52] reserved
[55:54] CP soft-start clock selection</t>
        </r>
      </text>
    </comment>
    <comment ref="H22" authorId="0">
      <text>
        <r>
          <rPr>
            <sz val="9"/>
            <rFont val="Tahoma"/>
            <charset val="134"/>
          </rPr>
          <t>Charge pump configuration</t>
        </r>
      </text>
    </comment>
    <comment ref="H23" authorId="0">
      <text>
        <r>
          <rPr>
            <sz val="9"/>
            <rFont val="Tahoma"/>
            <charset val="134"/>
          </rPr>
          <t>Charge pump configuration</t>
        </r>
      </text>
    </comment>
    <comment ref="H24" authorId="0">
      <text>
        <r>
          <rPr>
            <sz val="9"/>
            <rFont val="Tahoma"/>
            <charset val="134"/>
          </rPr>
          <t>Charge pump configuration</t>
        </r>
      </text>
    </comment>
    <comment ref="H25" authorId="0">
      <text>
        <r>
          <rPr>
            <sz val="9"/>
            <rFont val="Tahoma"/>
            <charset val="134"/>
          </rPr>
          <t>Charge pump configuration</t>
        </r>
      </text>
    </comment>
    <comment ref="H26" authorId="0">
      <text>
        <r>
          <rPr>
            <sz val="9"/>
            <rFont val="Tahoma"/>
            <charset val="134"/>
          </rPr>
          <t>Charge pump configuration</t>
        </r>
      </text>
    </comment>
    <comment ref="H27" authorId="0">
      <text>
        <r>
          <rPr>
            <sz val="9"/>
            <rFont val="Tahoma"/>
            <charset val="134"/>
          </rPr>
          <t>Charge pump configuration</t>
        </r>
      </text>
    </comment>
    <comment ref="M28" authorId="0">
      <text>
        <r>
          <rPr>
            <sz val="9"/>
            <rFont val="Tahoma"/>
            <charset val="134"/>
          </rPr>
          <t>low VDD configuration</t>
        </r>
      </text>
    </comment>
    <comment ref="N28" authorId="0">
      <text>
        <r>
          <rPr>
            <sz val="9"/>
            <rFont val="Tahoma"/>
            <charset val="134"/>
          </rPr>
          <t>disable thermal shutdown.</t>
        </r>
      </text>
    </comment>
    <comment ref="O28" authorId="0">
      <text>
        <r>
          <rPr>
            <sz val="9"/>
            <rFont val="Tahoma"/>
            <charset val="134"/>
          </rPr>
          <t>Select low Bandgap.</t>
        </r>
      </text>
    </comment>
    <comment ref="J29" authorId="0">
      <text>
        <r>
          <rPr>
            <sz val="9"/>
            <rFont val="Tahoma"/>
            <charset val="134"/>
          </rPr>
          <t>SDA output delay.</t>
        </r>
      </text>
    </comment>
    <comment ref="L29" authorId="0">
      <text>
        <r>
          <rPr>
            <sz val="9"/>
            <rFont val="Tahoma"/>
            <charset val="134"/>
          </rPr>
          <t>SDA input delay.</t>
        </r>
      </text>
    </comment>
    <comment ref="N29" authorId="0">
      <text>
        <r>
          <rPr>
            <sz val="9"/>
            <rFont val="Tahoma"/>
            <charset val="134"/>
          </rPr>
          <t>SCL input delay.</t>
        </r>
      </text>
    </comment>
    <comment ref="K30" authorId="0">
      <text>
        <r>
          <rPr>
            <sz val="9"/>
            <rFont val="Tahoma"/>
            <charset val="134"/>
          </rPr>
          <t>PGATE-IN configuration.</t>
        </r>
      </text>
    </comment>
    <comment ref="H31" authorId="0">
      <text>
        <r>
          <rPr>
            <sz val="9"/>
            <rFont val="Tahoma"/>
            <charset val="134"/>
          </rPr>
          <t>Spare analog configuration.</t>
        </r>
      </text>
    </comment>
    <comment ref="L32" authorId="0">
      <text>
        <r>
          <rPr>
            <sz val="9"/>
            <rFont val="Tahoma"/>
            <charset val="134"/>
          </rPr>
          <t>Alternative CP clock adjustment when CP is not fully active.
0=1X, 1=1/2X, 2=1/4X, 3=1/8X</t>
        </r>
      </text>
    </comment>
    <comment ref="N32" authorId="0">
      <text>
        <r>
          <rPr>
            <sz val="9"/>
            <rFont val="Tahoma"/>
            <charset val="134"/>
          </rPr>
          <t>Enable spread spectrum frequency ramping on CP-clock.</t>
        </r>
      </text>
    </comment>
    <comment ref="O32" authorId="0">
      <text>
        <r>
          <rPr>
            <sz val="9"/>
            <rFont val="Tahoma"/>
            <charset val="134"/>
          </rPr>
          <t>Override CP-clock frequency measurement circuit with default value.</t>
        </r>
      </text>
    </comment>
    <comment ref="H33" authorId="0">
      <text>
        <r>
          <rPr>
            <sz val="9"/>
            <rFont val="Tahoma"/>
            <charset val="134"/>
          </rPr>
          <t>Default CP-CLOCK period (12MHz clock ticks).</t>
        </r>
      </text>
    </comment>
    <comment ref="L34" authorId="0">
      <text>
        <r>
          <rPr>
            <sz val="9"/>
            <rFont val="Tahoma"/>
            <charset val="134"/>
          </rPr>
          <t>Default CP-CLOCK period (12MHz clock ticks).</t>
        </r>
      </text>
    </comment>
    <comment ref="I35" authorId="0">
      <text>
        <r>
          <rPr>
            <sz val="9"/>
            <rFont val="Tahoma"/>
            <charset val="134"/>
          </rPr>
          <t>Signed offset (range from -64 to +63), applied to measured count before gain.</t>
        </r>
      </text>
    </comment>
    <comment ref="H36" authorId="0">
      <text>
        <r>
          <rPr>
            <sz val="9"/>
            <rFont val="Tahoma"/>
            <charset val="134"/>
          </rPr>
          <t>Fixed point format: 4 integer bits, 4 fractional bits, applied to measured count after offset.
Effective gain factor is equal to (CPCLK_GAIN+1)/16:  max=16, min=0.625.</t>
        </r>
      </text>
    </comment>
    <comment ref="H37" authorId="0">
      <text>
        <r>
          <rPr>
            <sz val="9"/>
            <rFont val="Tahoma"/>
            <charset val="134"/>
          </rPr>
          <t>Minimum allowed CP clock period. The CPCLK_MIN period will be used if the measured/adjusted period is less or equal to CPCLK_MIN.</t>
        </r>
      </text>
    </comment>
    <comment ref="L38" authorId="0">
      <text>
        <r>
          <rPr>
            <sz val="9"/>
            <rFont val="Tahoma"/>
            <charset val="134"/>
          </rPr>
          <t>Minimum allowed CP clock period. The CPCLK_MIN period will be used if the measured/adjusted period is less or equal to CPCLK_MIN.</t>
        </r>
      </text>
    </comment>
    <comment ref="H39" authorId="0">
      <text>
        <r>
          <rPr>
            <sz val="9"/>
            <rFont val="Tahoma"/>
            <charset val="134"/>
          </rPr>
          <t>Maximum allowed CP clock period.  The CPCLK_MAX period will be use if measured/adjusted period is greater than or equal to CPCLK_MAX.</t>
        </r>
      </text>
    </comment>
    <comment ref="L40" authorId="0">
      <text>
        <r>
          <rPr>
            <sz val="9"/>
            <rFont val="Tahoma"/>
            <charset val="134"/>
          </rPr>
          <t>Maximum allowed CP clock period.  The CPCLK_MAX period will be use if measured/adjusted period is greater than or equal to CPCLK_MAX.</t>
        </r>
      </text>
    </comment>
    <comment ref="H41" authorId="0">
      <text>
        <r>
          <rPr>
            <sz val="9"/>
            <rFont val="Tahoma"/>
            <charset val="134"/>
          </rPr>
          <t>d_clkss frequency setting when d_boost_mode=0.  Divisor applied to 12MHz clock.  0=1/1, 1=1/2, 2=1/3, … 15=1/17</t>
        </r>
      </text>
    </comment>
    <comment ref="L41" authorId="0">
      <text>
        <r>
          <rPr>
            <sz val="9"/>
            <rFont val="Tahoma"/>
            <charset val="134"/>
          </rPr>
          <t>d_clkss frequency setting when d_boost_mode=1.  Divisor applied to 12MHz clock.  0=1/1, 1=1/2, 2=1/3, … 15=1/16</t>
        </r>
      </text>
    </comment>
    <comment ref="J42" authorId="0">
      <text>
        <r>
          <rPr>
            <sz val="9"/>
            <rFont val="Tahoma"/>
            <charset val="134"/>
          </rPr>
          <t>blank pgate_on.</t>
        </r>
      </text>
    </comment>
    <comment ref="K42" authorId="0">
      <text>
        <r>
          <rPr>
            <sz val="9"/>
            <rFont val="Tahoma"/>
            <charset val="134"/>
          </rPr>
          <t>blank tsd.</t>
        </r>
      </text>
    </comment>
    <comment ref="L42" authorId="0">
      <text>
        <r>
          <rPr>
            <sz val="9"/>
            <rFont val="Tahoma"/>
            <charset val="134"/>
          </rPr>
          <t>blank ilim.</t>
        </r>
      </text>
    </comment>
    <comment ref="M42" authorId="0">
      <text>
        <r>
          <rPr>
            <sz val="9"/>
            <rFont val="Tahoma"/>
            <charset val="134"/>
          </rPr>
          <t>blank zcd.</t>
        </r>
      </text>
    </comment>
    <comment ref="N42" authorId="0">
      <text>
        <r>
          <rPr>
            <sz val="9"/>
            <rFont val="Tahoma"/>
            <charset val="134"/>
          </rPr>
          <t>blank p1_lo_latch.</t>
        </r>
      </text>
    </comment>
    <comment ref="O42" authorId="0">
      <text>
        <r>
          <rPr>
            <sz val="9"/>
            <rFont val="Tahoma"/>
            <charset val="134"/>
          </rPr>
          <t>blank p1_lo_raw.</t>
        </r>
      </text>
    </comment>
    <comment ref="K43" authorId="0">
      <text>
        <r>
          <rPr>
            <sz val="9"/>
            <rFont val="Tahoma"/>
            <charset val="134"/>
          </rPr>
          <t>blank vcd_uv.</t>
        </r>
      </text>
    </comment>
    <comment ref="L43" authorId="0">
      <text>
        <r>
          <rPr>
            <sz val="9"/>
            <rFont val="Tahoma"/>
            <charset val="134"/>
          </rPr>
          <t>blank vcc_uv.</t>
        </r>
      </text>
    </comment>
    <comment ref="M43" authorId="0">
      <text>
        <r>
          <rPr>
            <sz val="9"/>
            <rFont val="Tahoma"/>
            <charset val="134"/>
          </rPr>
          <t>blank vcb_uv.</t>
        </r>
      </text>
    </comment>
    <comment ref="N43" authorId="0">
      <text>
        <r>
          <rPr>
            <sz val="9"/>
            <rFont val="Tahoma"/>
            <charset val="134"/>
          </rPr>
          <t>blank vout_uv.</t>
        </r>
      </text>
    </comment>
    <comment ref="O43" authorId="0">
      <text>
        <r>
          <rPr>
            <sz val="9"/>
            <rFont val="Tahoma"/>
            <charset val="134"/>
          </rPr>
          <t>blank vpwr_uv.</t>
        </r>
      </text>
    </comment>
    <comment ref="K44" authorId="0">
      <text>
        <r>
          <rPr>
            <sz val="9"/>
            <rFont val="Tahoma"/>
            <charset val="134"/>
          </rPr>
          <t>latch tsd fault.</t>
        </r>
      </text>
    </comment>
    <comment ref="L44" authorId="0">
      <text>
        <r>
          <rPr>
            <sz val="9"/>
            <rFont val="Tahoma"/>
            <charset val="134"/>
          </rPr>
          <t>latch ilim fault.</t>
        </r>
      </text>
    </comment>
    <comment ref="M44" authorId="0">
      <text>
        <r>
          <rPr>
            <sz val="9"/>
            <rFont val="Tahoma"/>
            <charset val="134"/>
          </rPr>
          <t>latch zcd fault.</t>
        </r>
      </text>
    </comment>
    <comment ref="J45" authorId="0">
      <text>
        <r>
          <rPr>
            <sz val="9"/>
            <rFont val="Tahoma"/>
            <charset val="134"/>
          </rPr>
          <t>latch vout_fault.</t>
        </r>
      </text>
    </comment>
    <comment ref="H46" authorId="0">
      <text>
        <r>
          <rPr>
            <sz val="9"/>
            <rFont val="Tahoma"/>
            <charset val="134"/>
          </rPr>
          <t>Deglitch filter setting for rising edge of CP zero current detect.
0=bypass, 1=10us, 2=25us, 3=50us</t>
        </r>
      </text>
    </comment>
    <comment ref="J46" authorId="0">
      <text>
        <r>
          <rPr>
            <sz val="9"/>
            <rFont val="Tahoma"/>
            <charset val="134"/>
          </rPr>
          <t>Deglitch filter setting for rising edge of CP current limit.
0=bypass, 1=10us, 2=25us, 3=50us</t>
        </r>
      </text>
    </comment>
    <comment ref="L46" authorId="0">
      <text>
        <r>
          <rPr>
            <sz val="9"/>
            <rFont val="Tahoma"/>
            <charset val="134"/>
          </rPr>
          <t>Deglitch filter setting for rising edge of a_cpclkm_out.
0=bypass, 1=10us, 2=25us, 3=50us</t>
        </r>
      </text>
    </comment>
    <comment ref="N46" authorId="0">
      <text>
        <r>
          <rPr>
            <sz val="9"/>
            <rFont val="Tahoma"/>
            <charset val="134"/>
          </rPr>
          <t>Deglitch filter setting for rising edge of a_tsd.
0=bypass, 1=10us, 2=25us, 3=50us</t>
        </r>
      </text>
    </comment>
    <comment ref="H47" authorId="0">
      <text>
        <r>
          <rPr>
            <sz val="9"/>
            <rFont val="Tahoma"/>
            <charset val="134"/>
          </rPr>
          <t>Deglitch filter setting for rising edge of P1 low detect (raw version).
0=bypass, 1=10us, 2=25us, 3=50us</t>
        </r>
      </text>
    </comment>
    <comment ref="J47" authorId="0">
      <text>
        <r>
          <rPr>
            <sz val="9"/>
            <rFont val="Tahoma"/>
            <charset val="134"/>
          </rPr>
          <t>Deglitch filter setting for rising edge of P1 low detect (latched version).
0=bypass, 1=10us, 2=25us, 3=50us</t>
        </r>
      </text>
    </comment>
    <comment ref="L47" authorId="0">
      <text>
        <r>
          <rPr>
            <sz val="9"/>
            <rFont val="Tahoma"/>
            <charset val="134"/>
          </rPr>
          <t>Deglitch filter setting for falling edge of VOUT_UV detect.
0=bypass, 1=200us, 2=1ms, 3=2ms</t>
        </r>
      </text>
    </comment>
    <comment ref="N47" authorId="0">
      <text>
        <r>
          <rPr>
            <sz val="9"/>
            <rFont val="Tahoma"/>
            <charset val="134"/>
          </rPr>
          <t>Deglitch filter setting for rising edge of VPWR_UV detect.
0=bypass, 1=10us, 2=25us, 3=50us</t>
        </r>
      </text>
    </comment>
    <comment ref="H48" authorId="0">
      <text>
        <r>
          <rPr>
            <sz val="9"/>
            <rFont val="Tahoma"/>
            <charset val="134"/>
          </rPr>
          <t>Deglitch filter setting for rising edge of a_pgate_on.
0=bypass, 1=10us, 2=25us, 3=50us</t>
        </r>
      </text>
    </comment>
    <comment ref="J48" authorId="0">
      <text>
        <r>
          <rPr>
            <sz val="9"/>
            <rFont val="Tahoma"/>
            <charset val="134"/>
          </rPr>
          <t>Deglitch filter setting for rising/falling edges of VCD UV detect.
0=bypass, 1=10us, 2=25us, 3=50us</t>
        </r>
      </text>
    </comment>
    <comment ref="L48" authorId="0">
      <text>
        <r>
          <rPr>
            <sz val="9"/>
            <rFont val="Tahoma"/>
            <charset val="134"/>
          </rPr>
          <t>Deglitch filter setting for rising/falling edges of VCC UV detect.
0=bypass, 1=10us, 2=25us, 3=50us</t>
        </r>
      </text>
    </comment>
    <comment ref="N48" authorId="0">
      <text>
        <r>
          <rPr>
            <sz val="9"/>
            <rFont val="Tahoma"/>
            <charset val="134"/>
          </rPr>
          <t>Deglitch filter setting for rising/falling edges of VCB UV detect.
0=bypass, 1=10us, 2=25us, 3=50us</t>
        </r>
      </text>
    </comment>
    <comment ref="N49" authorId="0">
      <text>
        <r>
          <rPr>
            <sz val="9"/>
            <rFont val="Tahoma"/>
            <charset val="134"/>
          </rPr>
          <t>Deglitch filter setting for falling edge of a_en_det.
0=bypass, 1=10us, 2=25us, 3=50us</t>
        </r>
      </text>
    </comment>
    <comment ref="I50" authorId="0">
      <text>
        <r>
          <rPr>
            <sz val="9"/>
            <rFont val="Tahoma"/>
            <charset val="134"/>
          </rPr>
          <t>Select DISCHG_PHASE state time interval.
0=1ms, 1=2ms, 2=4ms, 3=8ms,
4=10ms, 5=20ms, 6=50ms, 7=100ms</t>
        </r>
      </text>
    </comment>
    <comment ref="M50" authorId="0">
      <text>
        <r>
          <rPr>
            <sz val="9"/>
            <rFont val="Tahoma"/>
            <charset val="134"/>
          </rPr>
          <t>Select HICCUP state time interval.
0=10ms, 1=20ms, 2=30ms, 3=50ms,
4=100ms, 5=150ms, 6=200ms, 7=300ms</t>
        </r>
      </text>
    </comment>
    <comment ref="I51" authorId="0">
      <text>
        <r>
          <rPr>
            <sz val="9"/>
            <rFont val="Tahoma"/>
            <charset val="134"/>
          </rPr>
          <t>Select BST_CHARGE state time interval.
0=600us, 1=1ms, 2=2ms, 3=3ms,
4=4ms, 5=5ms, 6=10ms, 7=20ms</t>
        </r>
      </text>
    </comment>
    <comment ref="M51" authorId="0">
      <text>
        <r>
          <rPr>
            <sz val="9"/>
            <rFont val="Tahoma"/>
            <charset val="134"/>
          </rPr>
          <t>Select DISCHG_FLYCAP state time interval.
0=5ms, 1=10ms, 2=15ms, 3=20ms,
4=30ms, 5=40ms, 6=50ms, 7=100ms</t>
        </r>
      </text>
    </comment>
    <comment ref="I52" authorId="0">
      <text>
        <r>
          <rPr>
            <sz val="9"/>
            <rFont val="Tahoma"/>
            <charset val="134"/>
          </rPr>
          <t>Select STEPDOWN_SOFTSTART state time interval.
0=300us, 1=500us, 2=1ms, 3=1.5ms,
4=2ms, 5=3ms, 6=4ms, 7=5ms</t>
        </r>
      </text>
    </comment>
    <comment ref="M52" authorId="0">
      <text>
        <r>
          <rPr>
            <sz val="9"/>
            <rFont val="Tahoma"/>
            <charset val="134"/>
          </rPr>
          <t>Select STEPUP_SOFTSTART state time interval.
0=500us, 1=1ms, 2=2ms, 4ms,
4=56ms, 5=8ms, 6=10ms, 7=20ms</t>
        </r>
      </text>
    </comment>
    <comment ref="I53" authorId="0">
      <text>
        <r>
          <rPr>
            <sz val="9"/>
            <rFont val="Tahoma"/>
            <charset val="134"/>
          </rPr>
          <t>Select SHUTDOWN state time interval.
0=100us, 1=500us, 2=1ms, 3=1.5ms,
4=2ms, 5=5ms, 6=10ms, 7=20ms</t>
        </r>
      </text>
    </comment>
    <comment ref="M53" authorId="0">
      <text>
        <r>
          <rPr>
            <sz val="9"/>
            <rFont val="Tahoma"/>
            <charset val="134"/>
          </rPr>
          <t>Select CP_START state time interval.
0=83ns, 1=100us, 2=200us, 3=300us,
4=400us, 5=500us, 6=600us, 7=700us</t>
        </r>
      </text>
    </comment>
    <comment ref="M54" authorId="0">
      <text>
        <r>
          <rPr>
            <sz val="9"/>
            <rFont val="Tahoma"/>
            <charset val="134"/>
          </rPr>
          <t>Select OFF state time interval.
0=100us, 1=500us, 2=1ms, 3=1.5ms,
4=2ms, 5=5ms, 6=10ms, 7=20ms</t>
        </r>
      </text>
    </comment>
    <comment ref="I55" authorId="0">
      <text>
        <r>
          <rPr>
            <sz val="9"/>
            <rFont val="Tahoma"/>
            <charset val="134"/>
          </rPr>
          <t>Full 7-bit I2C-address.</t>
        </r>
      </text>
    </comment>
    <comment ref="O56" authorId="0">
      <text>
        <r>
          <rPr>
            <sz val="9"/>
            <rFont val="Tahoma"/>
            <charset val="134"/>
          </rPr>
          <t>Inhibit startup when set.  Prevents the charge pump from starting on unprogrammed devices.  Must be set to 0 to enable powering up the DC/DC converter.</t>
        </r>
      </text>
    </comment>
    <comment ref="L57" authorId="0">
      <text>
        <r>
          <rPr>
            <sz val="9"/>
            <rFont val="Tahoma"/>
            <charset val="134"/>
          </rPr>
          <t>Located at the beginning of each OTP page.  In a valid page this field will be programmed to 1010b (Ah).</t>
        </r>
      </text>
    </comment>
    <comment ref="N58" authorId="0">
      <text>
        <r>
          <rPr>
            <sz val="9"/>
            <rFont val="Tahoma"/>
            <charset val="134"/>
          </rPr>
          <t>Disable clock gating for I2C register and NVM logic.</t>
        </r>
      </text>
    </comment>
    <comment ref="O58" authorId="0">
      <text>
        <r>
          <rPr>
            <sz val="9"/>
            <rFont val="Tahoma"/>
            <charset val="134"/>
          </rPr>
          <t>Select between raw and latched version of PX LO status.  0=raw, 1=latched.</t>
        </r>
      </text>
    </comment>
    <comment ref="H59" authorId="0">
      <text>
        <r>
          <rPr>
            <sz val="9"/>
            <rFont val="Tahoma"/>
            <charset val="134"/>
          </rPr>
          <t>unused bits in the OTP Page.  Available for new shadow registers.</t>
        </r>
      </text>
    </comment>
    <comment ref="J60" authorId="0">
      <text>
        <r>
          <rPr>
            <sz val="9"/>
            <rFont val="Tahoma"/>
            <charset val="134"/>
          </rPr>
          <t>Offset of 64-bit block within the compressed shadow register image.</t>
        </r>
      </text>
    </comment>
    <comment ref="H61" authorId="0">
      <text>
        <r>
          <rPr>
            <sz val="9"/>
            <rFont val="Tahoma"/>
            <charset val="134"/>
          </rPr>
          <t>Compressed shadow register image - byte 0</t>
        </r>
      </text>
    </comment>
    <comment ref="H62" authorId="0">
      <text>
        <r>
          <rPr>
            <sz val="9"/>
            <rFont val="Tahoma"/>
            <charset val="134"/>
          </rPr>
          <t>Compressed shadow register image - byte 1</t>
        </r>
      </text>
    </comment>
    <comment ref="H63" authorId="0">
      <text>
        <r>
          <rPr>
            <sz val="9"/>
            <rFont val="Tahoma"/>
            <charset val="134"/>
          </rPr>
          <t>Compressed shadow register image - byte 2</t>
        </r>
      </text>
    </comment>
    <comment ref="H64" authorId="0">
      <text>
        <r>
          <rPr>
            <sz val="9"/>
            <rFont val="Tahoma"/>
            <charset val="134"/>
          </rPr>
          <t>Compressed shadow register image - byte 3</t>
        </r>
      </text>
    </comment>
    <comment ref="H65" authorId="0">
      <text>
        <r>
          <rPr>
            <sz val="9"/>
            <rFont val="Tahoma"/>
            <charset val="134"/>
          </rPr>
          <t>Compressed shadow register image - byte 4</t>
        </r>
      </text>
    </comment>
    <comment ref="H66" authorId="0">
      <text>
        <r>
          <rPr>
            <sz val="9"/>
            <rFont val="Tahoma"/>
            <charset val="134"/>
          </rPr>
          <t>Compressed shadow register image - byte 5</t>
        </r>
      </text>
    </comment>
    <comment ref="H67" authorId="0">
      <text>
        <r>
          <rPr>
            <sz val="9"/>
            <rFont val="Tahoma"/>
            <charset val="134"/>
          </rPr>
          <t>Compressed shadow register image - byte 6</t>
        </r>
      </text>
    </comment>
    <comment ref="H68" authorId="0">
      <text>
        <r>
          <rPr>
            <sz val="9"/>
            <rFont val="Tahoma"/>
            <charset val="134"/>
          </rPr>
          <t>Compressed shadow register image - byte 7</t>
        </r>
      </text>
    </comment>
    <comment ref="H69" authorId="0">
      <text>
        <r>
          <rPr>
            <sz val="9"/>
            <rFont val="Tahoma"/>
            <charset val="134"/>
          </rPr>
          <t>Keep I2C out of reset (useful when forcing main state).</t>
        </r>
      </text>
    </comment>
    <comment ref="J69" authorId="0">
      <text>
        <r>
          <rPr>
            <sz val="9"/>
            <rFont val="Tahoma"/>
            <charset val="134"/>
          </rPr>
          <t>I2C I/O testmodes.</t>
        </r>
      </text>
    </comment>
    <comment ref="O69" authorId="0">
      <text>
        <r>
          <rPr>
            <sz val="9"/>
            <rFont val="Tahoma"/>
            <charset val="134"/>
          </rPr>
          <t>Disable register address incrementing in multi-byte read and write I2C accesses.</t>
        </r>
      </text>
    </comment>
    <comment ref="H70" authorId="0">
      <text>
        <r>
          <rPr>
            <sz val="9"/>
            <rFont val="Tahoma"/>
            <charset val="134"/>
          </rPr>
          <t>Set to enable scan mode.</t>
        </r>
      </text>
    </comment>
    <comment ref="O71" authorId="0">
      <text>
        <r>
          <rPr>
            <sz val="9"/>
            <rFont val="Tahoma"/>
            <charset val="134"/>
          </rPr>
          <t>Allow exit from PWR_LATCH_FAULT state.</t>
        </r>
      </text>
    </comment>
    <comment ref="I72" authorId="0">
      <text>
        <r>
          <rPr>
            <sz val="9"/>
            <rFont val="Tahoma"/>
            <charset val="134"/>
          </rPr>
          <t>Select internal signal for output on d_tm_diag[0].</t>
        </r>
      </text>
    </comment>
    <comment ref="I73" authorId="0">
      <text>
        <r>
          <rPr>
            <sz val="9"/>
            <rFont val="Tahoma"/>
            <charset val="134"/>
          </rPr>
          <t>Select internal signal for output on d_tm_diag[1].</t>
        </r>
      </text>
    </comment>
    <comment ref="J74" authorId="0">
      <text>
        <r>
          <rPr>
            <sz val="9"/>
            <rFont val="Tahoma"/>
            <charset val="134"/>
          </rPr>
          <t>Enable digital test mux.</t>
        </r>
      </text>
    </comment>
    <comment ref="N74" authorId="0">
      <text>
        <r>
          <rPr>
            <sz val="9"/>
            <rFont val="Tahoma"/>
            <charset val="134"/>
          </rPr>
          <t>Enable analog test mux.</t>
        </r>
      </text>
    </comment>
    <comment ref="H75" authorId="0">
      <text>
        <r>
          <rPr>
            <sz val="9"/>
            <rFont val="Tahoma"/>
            <charset val="134"/>
          </rPr>
          <t>Analog test mux select.</t>
        </r>
      </text>
    </comment>
    <comment ref="H76" authorId="0">
      <text>
        <r>
          <rPr>
            <sz val="9"/>
            <rFont val="Tahoma"/>
            <charset val="134"/>
          </rPr>
          <t>Digital test mux select.</t>
        </r>
      </text>
    </comment>
    <comment ref="H77" authorId="0">
      <text>
        <r>
          <rPr>
            <sz val="9"/>
            <rFont val="Tahoma"/>
            <charset val="134"/>
          </rPr>
          <t>force BST A1/2 = 1.</t>
        </r>
      </text>
    </comment>
    <comment ref="I77" authorId="0">
      <text>
        <r>
          <rPr>
            <sz val="9"/>
            <rFont val="Tahoma"/>
            <charset val="134"/>
          </rPr>
          <t>force BST PHS1/2 = 1.</t>
        </r>
      </text>
    </comment>
    <comment ref="J77" authorId="0">
      <text>
        <r>
          <rPr>
            <sz val="9"/>
            <rFont val="Tahoma"/>
            <charset val="134"/>
          </rPr>
          <t>force SW D1/2 = 1.</t>
        </r>
      </text>
    </comment>
    <comment ref="K77" authorId="0">
      <text>
        <r>
          <rPr>
            <sz val="9"/>
            <rFont val="Tahoma"/>
            <charset val="134"/>
          </rPr>
          <t>force SW C1/2 = 1.</t>
        </r>
      </text>
    </comment>
    <comment ref="L77" authorId="0">
      <text>
        <r>
          <rPr>
            <sz val="9"/>
            <rFont val="Tahoma"/>
            <charset val="134"/>
          </rPr>
          <t>force SW B1/2 = 1.</t>
        </r>
      </text>
    </comment>
    <comment ref="M77" authorId="0">
      <text>
        <r>
          <rPr>
            <sz val="9"/>
            <rFont val="Tahoma"/>
            <charset val="134"/>
          </rPr>
          <t>force SW A1/2 = 1.</t>
        </r>
      </text>
    </comment>
    <comment ref="N77" authorId="0">
      <text>
        <r>
          <rPr>
            <sz val="9"/>
            <rFont val="Tahoma"/>
            <charset val="134"/>
          </rPr>
          <t>force PHS1/2 = 1.</t>
        </r>
      </text>
    </comment>
    <comment ref="O77" authorId="0">
      <text>
        <r>
          <rPr>
            <sz val="9"/>
            <rFont val="Tahoma"/>
            <charset val="134"/>
          </rPr>
          <t>force PLS1/2 = 1.</t>
        </r>
      </text>
    </comment>
    <comment ref="H78" authorId="0">
      <text>
        <r>
          <rPr>
            <sz val="9"/>
            <rFont val="Tahoma"/>
            <charset val="134"/>
          </rPr>
          <t>force LM D = 1.</t>
        </r>
      </text>
    </comment>
    <comment ref="I78" authorId="0">
      <text>
        <r>
          <rPr>
            <sz val="9"/>
            <rFont val="Tahoma"/>
            <charset val="134"/>
          </rPr>
          <t>force LM C = 1.</t>
        </r>
      </text>
    </comment>
    <comment ref="J78" authorId="0">
      <text>
        <r>
          <rPr>
            <sz val="9"/>
            <rFont val="Tahoma"/>
            <charset val="134"/>
          </rPr>
          <t>force LM B = 1.</t>
        </r>
      </text>
    </comment>
    <comment ref="K78" authorId="0">
      <text>
        <r>
          <rPr>
            <sz val="9"/>
            <rFont val="Tahoma"/>
            <charset val="134"/>
          </rPr>
          <t>force ss = 1.</t>
        </r>
      </text>
    </comment>
    <comment ref="L78" authorId="0">
      <text>
        <r>
          <rPr>
            <sz val="9"/>
            <rFont val="Tahoma"/>
            <charset val="134"/>
          </rPr>
          <t>force ss_phase = 1.</t>
        </r>
      </text>
    </comment>
    <comment ref="M78" authorId="0">
      <text>
        <r>
          <rPr>
            <sz val="9"/>
            <rFont val="Tahoma"/>
            <charset val="134"/>
          </rPr>
          <t>force BST D1/2 = 1.</t>
        </r>
      </text>
    </comment>
    <comment ref="N78" authorId="0">
      <text>
        <r>
          <rPr>
            <sz val="9"/>
            <rFont val="Tahoma"/>
            <charset val="134"/>
          </rPr>
          <t>force BST C1/2 = 1.</t>
        </r>
      </text>
    </comment>
    <comment ref="O78" authorId="0">
      <text>
        <r>
          <rPr>
            <sz val="9"/>
            <rFont val="Tahoma"/>
            <charset val="134"/>
          </rPr>
          <t>force BST B1/2 = 1.</t>
        </r>
      </text>
    </comment>
    <comment ref="H79" authorId="0">
      <text>
        <r>
          <rPr>
            <sz val="9"/>
            <rFont val="Tahoma"/>
            <charset val="134"/>
          </rPr>
          <t>CS testbus:
[0] - shut down floating regulator and op (LV) for the CS current mirror gain.
[1] - shut down CS-out current mirror.
[2] - shut down offset current mirror.
[3] - shutdown CS trim and ZCD trim at the same time.
[4] - reserved</t>
        </r>
      </text>
    </comment>
    <comment ref="M79" authorId="0">
      <text>
        <r>
          <rPr>
            <sz val="9"/>
            <rFont val="Tahoma"/>
            <charset val="134"/>
          </rPr>
          <t>export UV Vth to TMUX.</t>
        </r>
      </text>
    </comment>
    <comment ref="N79" authorId="0">
      <text>
        <r>
          <rPr>
            <sz val="9"/>
            <rFont val="Tahoma"/>
            <charset val="134"/>
          </rPr>
          <t>Enable PD.</t>
        </r>
      </text>
    </comment>
    <comment ref="O79" authorId="0">
      <text>
        <r>
          <rPr>
            <sz val="9"/>
            <rFont val="Tahoma"/>
            <charset val="134"/>
          </rPr>
          <t>disable all switches.</t>
        </r>
      </text>
    </comment>
    <comment ref="N80" authorId="0">
      <text>
        <r>
          <rPr>
            <sz val="9"/>
            <rFont val="Tahoma"/>
            <charset val="134"/>
          </rPr>
          <t>Power on reset testmode.</t>
        </r>
      </text>
    </comment>
    <comment ref="O80" authorId="0">
      <text>
        <r>
          <rPr>
            <sz val="9"/>
            <rFont val="Tahoma"/>
            <charset val="134"/>
          </rPr>
          <t>Reference/Bias testmode.</t>
        </r>
      </text>
    </comment>
    <comment ref="H81" authorId="0">
      <text>
        <r>
          <rPr>
            <sz val="9"/>
            <rFont val="Tahoma"/>
            <charset val="134"/>
          </rPr>
          <t>Override d_cp_discharge.  00b/01b=normal, 10b=low, 11b=high.</t>
        </r>
      </text>
    </comment>
    <comment ref="J81" authorId="0">
      <text>
        <r>
          <rPr>
            <sz val="9"/>
            <rFont val="Tahoma"/>
            <charset val="134"/>
          </rPr>
          <t>Override d_ratio[1].  00b/01b=normal, 10b=low, 11b=high.</t>
        </r>
      </text>
    </comment>
    <comment ref="L81" authorId="0">
      <text>
        <r>
          <rPr>
            <sz val="9"/>
            <rFont val="Tahoma"/>
            <charset val="134"/>
          </rPr>
          <t>Override d_ratio[0].  00b/01b=normal, 10b=low, 11b=high.</t>
        </r>
      </text>
    </comment>
    <comment ref="N81" authorId="0">
      <text>
        <r>
          <rPr>
            <sz val="9"/>
            <rFont val="Tahoma"/>
            <charset val="134"/>
          </rPr>
          <t>Override d_boost_mode.  00b/01b=normal, 10b=low, 11b=high.</t>
        </r>
      </text>
    </comment>
    <comment ref="H82" authorId="0">
      <text>
        <r>
          <rPr>
            <sz val="9"/>
            <rFont val="Tahoma"/>
            <charset val="134"/>
          </rPr>
          <t>Override d_en_cp.  00b/01b=normal, 10b=low, 11b=high.</t>
        </r>
      </text>
    </comment>
    <comment ref="J82" authorId="0">
      <text>
        <r>
          <rPr>
            <sz val="9"/>
            <rFont val="Tahoma"/>
            <charset val="134"/>
          </rPr>
          <t>Override d_cp_state[2].  00b/01b=normal, 10b=low, 11b=high.</t>
        </r>
      </text>
    </comment>
    <comment ref="L82" authorId="0">
      <text>
        <r>
          <rPr>
            <sz val="9"/>
            <rFont val="Tahoma"/>
            <charset val="134"/>
          </rPr>
          <t>Override d_cp_state[1].  00b/01b=normal, 10b=low, 11b=high.</t>
        </r>
      </text>
    </comment>
    <comment ref="N82" authorId="0">
      <text>
        <r>
          <rPr>
            <sz val="9"/>
            <rFont val="Tahoma"/>
            <charset val="134"/>
          </rPr>
          <t>Override d_cp_state[0].  00b/01b=normal, 10b=low, 11b=high.</t>
        </r>
      </text>
    </comment>
    <comment ref="H83" authorId="0">
      <text>
        <r>
          <rPr>
            <sz val="9"/>
            <rFont val="Tahoma"/>
            <charset val="134"/>
          </rPr>
          <t>Override d_pgood_pd_n.  00b/01b=normal, 10b=low, 11b=high.</t>
        </r>
      </text>
    </comment>
    <comment ref="J83" authorId="0">
      <text>
        <r>
          <rPr>
            <sz val="9"/>
            <rFont val="Tahoma"/>
            <charset val="134"/>
          </rPr>
          <t>Override d_pgood_valid.  00b/01b=normal, 10b=low, 11b=high.</t>
        </r>
      </text>
    </comment>
    <comment ref="L83" authorId="0">
      <text>
        <r>
          <rPr>
            <sz val="9"/>
            <rFont val="Tahoma"/>
            <charset val="134"/>
          </rPr>
          <t>Override d_pgate_en.  00b/01b=normal, 10b=low, 11b=high.</t>
        </r>
      </text>
    </comment>
    <comment ref="N83" authorId="0">
      <text>
        <r>
          <rPr>
            <sz val="9"/>
            <rFont val="Tahoma"/>
            <charset val="134"/>
          </rPr>
          <t>Override d_en_digital.  00b/01b=normal, 10b=low, 11b=high.</t>
        </r>
      </text>
    </comment>
    <comment ref="H84" authorId="0">
      <text>
        <r>
          <rPr>
            <sz val="9"/>
            <rFont val="Tahoma"/>
            <charset val="134"/>
          </rPr>
          <t>Override d_softsw. 00b/01b=normal, 10b=low, 11b=high.</t>
        </r>
      </text>
    </comment>
    <comment ref="J84" authorId="0">
      <text>
        <r>
          <rPr>
            <sz val="9"/>
            <rFont val="Tahoma"/>
            <charset val="134"/>
          </rPr>
          <t>Override d_dig_read. 00b/01b=normal, 10b=low, 11b=high.</t>
        </r>
      </text>
    </comment>
    <comment ref="L84" authorId="0">
      <text>
        <r>
          <rPr>
            <sz val="9"/>
            <rFont val="Tahoma"/>
            <charset val="134"/>
          </rPr>
          <t>Override d_cpclkm_start.  00b/01b=normal, 10b=low, 11b=high.</t>
        </r>
      </text>
    </comment>
    <comment ref="N84" authorId="0">
      <text>
        <r>
          <rPr>
            <sz val="9"/>
            <rFont val="Tahoma"/>
            <charset val="134"/>
          </rPr>
          <t>Override d_cpclkm_en.  00b/01b=normal, 10b=low, 11b=high.</t>
        </r>
      </text>
    </comment>
    <comment ref="N85" authorId="0">
      <text>
        <r>
          <rPr>
            <sz val="9"/>
            <rFont val="Tahoma"/>
            <charset val="134"/>
          </rPr>
          <t>Enable forcing MAIN state machine into state defined by TM_STATE1.MAIN.</t>
        </r>
      </text>
    </comment>
    <comment ref="O85" authorId="0">
      <text>
        <r>
          <rPr>
            <sz val="9"/>
            <rFont val="Tahoma"/>
            <charset val="134"/>
          </rPr>
          <t>Enable forcing PWR state machine into state defined by TM_STATE1.PWR.</t>
        </r>
      </text>
    </comment>
    <comment ref="H86" authorId="0">
      <text>
        <r>
          <rPr>
            <sz val="9"/>
            <rFont val="Tahoma"/>
            <charset val="134"/>
          </rPr>
          <t>MAIN state variable force value.  When TM_STATE0.MAIN is set the MAIN state machine will be forced using this value.</t>
        </r>
      </text>
    </comment>
    <comment ref="K86" authorId="0">
      <text>
        <r>
          <rPr>
            <sz val="9"/>
            <rFont val="Tahoma"/>
            <charset val="134"/>
          </rPr>
          <t>PWR state variable force value.  When TM_STATE0.PWR is set this the PWR state machine will be forced using this value.</t>
        </r>
      </text>
    </comment>
    <comment ref="O87" authorId="0">
      <text>
        <r>
          <rPr>
            <sz val="9"/>
            <rFont val="Tahoma"/>
            <charset val="134"/>
          </rPr>
          <t>Request refresh of CP-clock period configuration measurement</t>
        </r>
      </text>
    </comment>
    <comment ref="H88" authorId="0">
      <text>
        <r>
          <rPr>
            <sz val="9"/>
            <rFont val="Tahoma"/>
            <charset val="134"/>
          </rPr>
          <t>a_cpclkm_out signal from analog domain.</t>
        </r>
      </text>
    </comment>
    <comment ref="L88" authorId="0">
      <text>
        <r>
          <rPr>
            <sz val="9"/>
            <rFont val="Tahoma"/>
            <charset val="134"/>
          </rPr>
          <t>CP-clock measurement failed due to an over-flow condition.  An overflow can be occur in the measuring counter or in the post-measure adjustment math.</t>
        </r>
      </text>
    </comment>
    <comment ref="M88" authorId="0">
      <text>
        <r>
          <rPr>
            <sz val="9"/>
            <rFont val="Tahoma"/>
            <charset val="134"/>
          </rPr>
          <t>CP-clock measured period is too long</t>
        </r>
      </text>
    </comment>
    <comment ref="N88" authorId="0">
      <text>
        <r>
          <rPr>
            <sz val="9"/>
            <rFont val="Tahoma"/>
            <charset val="134"/>
          </rPr>
          <t>CP-clock measured period is too short</t>
        </r>
      </text>
    </comment>
    <comment ref="O88" authorId="0">
      <text>
        <r>
          <rPr>
            <sz val="9"/>
            <rFont val="Tahoma"/>
            <charset val="134"/>
          </rPr>
          <t>Refresh CP-clock period configuration measurement completed</t>
        </r>
      </text>
    </comment>
    <comment ref="K89" authorId="0">
      <text>
        <r>
          <rPr>
            <sz val="9"/>
            <rFont val="Tahoma"/>
            <charset val="134"/>
          </rPr>
          <t>Enable Error Correction Code (ECC) generation and checking.</t>
        </r>
      </text>
    </comment>
    <comment ref="N89" authorId="0">
      <text>
        <r>
          <rPr>
            <sz val="9"/>
            <rFont val="Tahoma"/>
            <charset val="134"/>
          </rPr>
          <t>Encoded OTP access size (in bytes):  00b=1, 01b=2, 10b=4, 11b=8.</t>
        </r>
      </text>
    </comment>
    <comment ref="I90" authorId="0">
      <text>
        <r>
          <rPr>
            <sz val="9"/>
            <rFont val="Tahoma"/>
            <charset val="134"/>
          </rPr>
          <t>OTP row address (may be internally truncated as multi-row OTP accesses are always aligned).</t>
        </r>
      </text>
    </comment>
    <comment ref="H91" authorId="0">
      <text>
        <r>
          <rPr>
            <sz val="9"/>
            <rFont val="Tahoma"/>
            <charset val="134"/>
          </rPr>
          <t>Repeatedly execute the requested command</t>
        </r>
      </text>
    </comment>
    <comment ref="J91" authorId="0">
      <text>
        <r>
          <rPr>
            <sz val="9"/>
            <rFont val="Tahoma"/>
            <charset val="134"/>
          </rPr>
          <t>Index of starting OTP page to load.  Allows having multiple valid pages in OTP.</t>
        </r>
      </text>
    </comment>
    <comment ref="M91" authorId="0">
      <text>
        <r>
          <rPr>
            <sz val="9"/>
            <rFont val="Tahoma"/>
            <charset val="134"/>
          </rPr>
          <t>OTP reload command (must be manually cleared after NVM_STATUS.RELOAD_DONE).</t>
        </r>
      </text>
    </comment>
    <comment ref="N91" authorId="0">
      <text>
        <r>
          <rPr>
            <sz val="9"/>
            <rFont val="Tahoma"/>
            <charset val="134"/>
          </rPr>
          <t>OTP read command (must be manually cleared after NVM_STATUS.READ_DONE).</t>
        </r>
      </text>
    </comment>
    <comment ref="O91" authorId="0">
      <text>
        <r>
          <rPr>
            <sz val="9"/>
            <rFont val="Tahoma"/>
            <charset val="134"/>
          </rPr>
          <t>OTP write command (must be manually cleared after NVM_STATUS.WRITE_DONE).</t>
        </r>
      </text>
    </comment>
    <comment ref="H92" authorId="0">
      <text>
        <r>
          <rPr>
            <sz val="9"/>
            <rFont val="Tahoma"/>
            <charset val="134"/>
          </rPr>
          <t>An uncorrected dual-bit error was detected while loading from the current OTP page.  Shadow registers cannot be trusted to contain valid data.</t>
        </r>
      </text>
    </comment>
    <comment ref="I92" authorId="0">
      <text>
        <r>
          <rPr>
            <sz val="9"/>
            <rFont val="Tahoma"/>
            <charset val="134"/>
          </rPr>
          <t>At least one single-bit error was detected and corrected while loading shadow registers from the current OTP page.</t>
        </r>
      </text>
    </comment>
    <comment ref="J92" authorId="0">
      <text>
        <r>
          <rPr>
            <sz val="9"/>
            <rFont val="Tahoma"/>
            <charset val="134"/>
          </rPr>
          <t>Index of final loaded page from OTP.  NVM_STATUS.LOAD_ERR bit indicates if load was successful.</t>
        </r>
      </text>
    </comment>
    <comment ref="L92" authorId="0">
      <text>
        <r>
          <rPr>
            <sz val="9"/>
            <rFont val="Tahoma"/>
            <charset val="134"/>
          </rPr>
          <t>Unable to load shadow registers without error.</t>
        </r>
      </text>
    </comment>
    <comment ref="M92" authorId="0">
      <text>
        <r>
          <rPr>
            <sz val="9"/>
            <rFont val="Tahoma"/>
            <charset val="134"/>
          </rPr>
          <t>OTP reload command done (automatically cleared on NVM_CMD.RELOAD_CMD=0).</t>
        </r>
      </text>
    </comment>
    <comment ref="N92" authorId="0">
      <text>
        <r>
          <rPr>
            <sz val="9"/>
            <rFont val="Tahoma"/>
            <charset val="134"/>
          </rPr>
          <t>OTP read command done (automatically cleared on NVM_CMD.READ_CMD=0).</t>
        </r>
      </text>
    </comment>
    <comment ref="O92" authorId="0">
      <text>
        <r>
          <rPr>
            <sz val="9"/>
            <rFont val="Tahoma"/>
            <charset val="134"/>
          </rPr>
          <t>OTP write command done (automatically cleared on NVM_CMD.WRITE_CMD=0).</t>
        </r>
      </text>
    </comment>
    <comment ref="H93" authorId="0">
      <text>
        <r>
          <rPr>
            <sz val="9"/>
            <rFont val="Tahoma"/>
            <charset val="134"/>
          </rPr>
          <t>Manually extend assertion of the OTP PWE signal (write pulse).</t>
        </r>
      </text>
    </comment>
    <comment ref="I93" authorId="0">
      <text>
        <r>
          <rPr>
            <sz val="9"/>
            <rFont val="Tahoma"/>
            <charset val="134"/>
          </rPr>
          <t>Manually extend assertion of the OTP PRD signal (read pulse).</t>
        </r>
      </text>
    </comment>
    <comment ref="L93" authorId="0">
      <text>
        <r>
          <rPr>
            <sz val="9"/>
            <rFont val="Tahoma"/>
            <charset val="134"/>
          </rPr>
          <t>Manual, direct control of the OTP PTM[1:0] signal bus.</t>
        </r>
      </text>
    </comment>
    <comment ref="O93" authorId="0">
      <text>
        <r>
          <rPr>
            <sz val="9"/>
            <rFont val="Tahoma"/>
            <charset val="134"/>
          </rPr>
          <t>Manual, direct control of the OTP PPROG signal.</t>
        </r>
      </text>
    </comment>
    <comment ref="O94" authorId="0">
      <text>
        <r>
          <rPr>
            <sz val="9"/>
            <rFont val="Tahoma"/>
            <charset val="134"/>
          </rPr>
          <t>VPP switch select:  0=5V, 1=7.5V</t>
        </r>
      </text>
    </comment>
    <comment ref="H95" authorId="0">
      <text>
        <r>
          <rPr>
            <sz val="9"/>
            <rFont val="Tahoma"/>
            <charset val="134"/>
          </rPr>
          <t>OTP write pulse time</t>
        </r>
      </text>
    </comment>
    <comment ref="H96" authorId="0">
      <text>
        <r>
          <rPr>
            <sz val="9"/>
            <rFont val="Tahoma"/>
            <charset val="134"/>
          </rPr>
          <t>OTP write pulse time</t>
        </r>
      </text>
    </comment>
    <comment ref="H97" authorId="0">
      <text>
        <r>
          <rPr>
            <sz val="9"/>
            <rFont val="Tahoma"/>
            <charset val="134"/>
          </rPr>
          <t>Byte-0 of the 64-bit ECC buffer (for OTP write, read and reload operations).</t>
        </r>
      </text>
    </comment>
    <comment ref="H98" authorId="0">
      <text>
        <r>
          <rPr>
            <sz val="9"/>
            <rFont val="Tahoma"/>
            <charset val="134"/>
          </rPr>
          <t>Byte-1 of the 64-bit ECC buffer (for OTP write, read and reload operations).</t>
        </r>
      </text>
    </comment>
    <comment ref="H99" authorId="0">
      <text>
        <r>
          <rPr>
            <sz val="9"/>
            <rFont val="Tahoma"/>
            <charset val="134"/>
          </rPr>
          <t>Byte-2 of the 64-bit ECC buffer (for OTP write, read and reload operations).</t>
        </r>
      </text>
    </comment>
    <comment ref="H100" authorId="0">
      <text>
        <r>
          <rPr>
            <sz val="9"/>
            <rFont val="Tahoma"/>
            <charset val="134"/>
          </rPr>
          <t>Byte-3 of the 64-bit ECC buffer(for OTP write, read and reload operations).</t>
        </r>
      </text>
    </comment>
    <comment ref="H101" authorId="0">
      <text>
        <r>
          <rPr>
            <sz val="9"/>
            <rFont val="Tahoma"/>
            <charset val="134"/>
          </rPr>
          <t>Byte-4 of the 64-bit ECC buffer (for OTP write, read and reload operations).</t>
        </r>
      </text>
    </comment>
    <comment ref="H102" authorId="0">
      <text>
        <r>
          <rPr>
            <sz val="9"/>
            <rFont val="Tahoma"/>
            <charset val="134"/>
          </rPr>
          <t>Byte-5 of the 64-bit ECC buffer (for OTP write, read and reload operations).</t>
        </r>
      </text>
    </comment>
    <comment ref="H103" authorId="0">
      <text>
        <r>
          <rPr>
            <sz val="9"/>
            <rFont val="Tahoma"/>
            <charset val="134"/>
          </rPr>
          <t>Byte-6 of the 64-bit ECC buffer(for OTP write, read and reload operations).</t>
        </r>
      </text>
    </comment>
    <comment ref="H104" authorId="0">
      <text>
        <r>
          <rPr>
            <sz val="9"/>
            <rFont val="Tahoma"/>
            <charset val="134"/>
          </rPr>
          <t>Byte-7 of the 64-bit ECC buffer (for OTP write, read and reload operations).</t>
        </r>
      </text>
    </comment>
    <comment ref="H105" authorId="0">
      <text>
        <r>
          <rPr>
            <sz val="9"/>
            <rFont val="Tahoma"/>
            <charset val="134"/>
          </rPr>
          <t>Minor die revision code (typically for ECO, metal layer tape-outs)</t>
        </r>
      </text>
    </comment>
    <comment ref="L105" authorId="0">
      <text>
        <r>
          <rPr>
            <sz val="9"/>
            <rFont val="Tahoma"/>
            <charset val="134"/>
          </rPr>
          <t>Major die revision code (typically for full layer tape-outs)</t>
        </r>
      </text>
    </comment>
    <comment ref="H106" authorId="0">
      <text>
        <r>
          <rPr>
            <sz val="9"/>
            <rFont val="Tahoma"/>
            <charset val="134"/>
          </rPr>
          <t xml:space="preserve">Hardwired to 16h. </t>
        </r>
      </text>
    </comment>
    <comment ref="H107" authorId="0">
      <text>
        <r>
          <rPr>
            <sz val="9"/>
            <rFont val="Tahoma"/>
            <charset val="134"/>
          </rPr>
          <t>Hardwired to 95h.</t>
        </r>
      </text>
    </comment>
  </commentList>
</comments>
</file>

<file path=xl/sharedStrings.xml><?xml version="1.0" encoding="utf-8"?>
<sst xmlns="http://schemas.openxmlformats.org/spreadsheetml/2006/main" count="4550" uniqueCount="1495">
  <si>
    <t>CP Cfg&lt;55:0&gt;</t>
  </si>
  <si>
    <t>value</t>
  </si>
  <si>
    <t>SoftSS_ clk_ DIV&lt;1:0&gt;</t>
  </si>
  <si>
    <t>CP soft-start clock selection&lt;1:0&gt;
Boost=1,  &lt;11&gt;=fcp div11, &lt;10&gt;=fcp div10,&lt;01&gt;=fcp div6,&lt;00&gt;=fcp div5
Buckt0,  &lt;11&gt;=fcp div4, &lt;10&gt;=fcp div3,&lt;01&gt;=fcp div2, &lt;00&gt;=fcp</t>
  </si>
  <si>
    <t>CP_CP6</t>
  </si>
  <si>
    <t>CFG_SSRamp&lt;15:0&gt;</t>
  </si>
  <si>
    <t>reserved</t>
  </si>
  <si>
    <t>SS_rate_Phase&lt;2:0&gt;</t>
  </si>
  <si>
    <t>CP softstart rate for Phase&lt;2:0&gt;
0/1/2…7 =&gt; 4,5,6…11</t>
  </si>
  <si>
    <t>SS_rate_D&lt;2:0&gt;</t>
  </si>
  <si>
    <t>CP softstart rate for SW D&lt;2:0&gt;
0/1/2..7==&gt;9,10…16</t>
  </si>
  <si>
    <t>CP_CP5</t>
  </si>
  <si>
    <t>SS_rate_C&lt;2:0&gt;</t>
  </si>
  <si>
    <t>CP softstart rate for SW C&lt;2:0&gt;
0/1/2..7==&gt;5,6…12</t>
  </si>
  <si>
    <t>SS_rate_B&lt;2:0&gt;</t>
  </si>
  <si>
    <t>CP softstart rate for SW B&lt;2:0&gt;
0/1/2..7==&gt;1,2…7</t>
  </si>
  <si>
    <t>EN_Px_OK</t>
  </si>
  <si>
    <t>0: force Px_LO=0, Phase PullDown, 1: Enable PxOK detection</t>
  </si>
  <si>
    <t>CP_CP4</t>
  </si>
  <si>
    <t>CFG_BYP_PDOK</t>
  </si>
  <si>
    <t>1: Disable PD, and PxOK detection; 0: allow Px Pull Down and PX OK detection</t>
  </si>
  <si>
    <t>CFG_CP Decoder&lt;3&gt;</t>
  </si>
  <si>
    <t>1: Enable a soft switch transition when entering mission mode (for BUCK); 0: disable</t>
  </si>
  <si>
    <t>DeglitchSW&lt;1:00&gt;</t>
  </si>
  <si>
    <t>Deglitch Time seting for all SWs 
&lt;11&gt;: 4.5ns, &lt;10&gt;2.4ns, &lt;01&gt;2.1ns, &lt;00&gt;1ns</t>
  </si>
  <si>
    <t>PD_ST0000</t>
  </si>
  <si>
    <t>1: PLS=0 @ state00000, 0: PLS=1 @ state0000</t>
  </si>
  <si>
    <t>BBM_CP&lt;6:0&gt;</t>
  </si>
  <si>
    <t>0: long deay; 1:short delay</t>
  </si>
  <si>
    <t>long delay &lt;2:0&gt;</t>
  </si>
  <si>
    <t>CP_CP3</t>
  </si>
  <si>
    <t>short delay&lt;2:0&gt;</t>
  </si>
  <si>
    <t>BBM_ph&lt;6:0&gt;</t>
  </si>
  <si>
    <t>CP_CP2</t>
  </si>
  <si>
    <t>CP_Vth&lt;3:0&gt;</t>
  </si>
  <si>
    <t>Vpower UVLO threshold selection.   1.25+M*0.05</t>
  </si>
  <si>
    <t>Default Vth=1.75</t>
  </si>
  <si>
    <t>1.25+0b'1010 (10)*0.05</t>
  </si>
  <si>
    <t>CP_CP1</t>
  </si>
  <si>
    <t>CS gain 3rd&lt;2:0&gt;</t>
  </si>
  <si>
    <t>CS gain 2nd&lt;3:0&gt;</t>
  </si>
  <si>
    <t>CP_CP0</t>
  </si>
  <si>
    <t>CS offset &lt;4:0&gt;</t>
  </si>
  <si>
    <t>CFG_REFBIAS</t>
  </si>
  <si>
    <t xml:space="preserve"> </t>
  </si>
  <si>
    <t>&lt;7:3&gt;</t>
  </si>
  <si>
    <t>CFG_REFBIAS&lt;7:3&gt;</t>
  </si>
  <si>
    <t>(reserved)</t>
  </si>
  <si>
    <t>00000</t>
  </si>
  <si>
    <t>&lt;2&gt;</t>
  </si>
  <si>
    <t>CFG_REFBIAS&lt;2&gt;</t>
  </si>
  <si>
    <t>LO_VDD</t>
  </si>
  <si>
    <t>0</t>
  </si>
  <si>
    <t>1: VDD=5.5, 0:VDD=5V</t>
  </si>
  <si>
    <t>&lt;1&gt;</t>
  </si>
  <si>
    <t>CFG_REFBIAS&lt;1&gt;</t>
  </si>
  <si>
    <t>DIS_TSD</t>
  </si>
  <si>
    <t>1: Disable TSD; 0: enable TSD</t>
  </si>
  <si>
    <t>&lt;0&gt;</t>
  </si>
  <si>
    <t>CFG_REFBIAS&lt;0&gt;</t>
  </si>
  <si>
    <t>set_LO</t>
  </si>
  <si>
    <t>1: change BG TC to x, 0: set BG TC default</t>
  </si>
  <si>
    <t>CFG_IO</t>
  </si>
  <si>
    <t>&lt;7:0&gt;</t>
  </si>
  <si>
    <t>CFG_IO&lt;7:6&gt;</t>
  </si>
  <si>
    <t>00</t>
  </si>
  <si>
    <t>CFG_IO&lt;5:4&gt;</t>
  </si>
  <si>
    <t>SDA_OUT Delay&lt;1:0&gt;</t>
  </si>
  <si>
    <t>SDA_IN Delay&lt;1:0&gt;</t>
  </si>
  <si>
    <t>SCL_IN Delay&lt;1:0&gt;</t>
  </si>
  <si>
    <t>01</t>
  </si>
  <si>
    <t>CP_Pgate</t>
  </si>
  <si>
    <t>&lt;7:5&gt;</t>
  </si>
  <si>
    <t>CP_PGATE&lt;7:5&gt;</t>
  </si>
  <si>
    <t>000</t>
  </si>
  <si>
    <t>pgate_in_bypass</t>
  </si>
  <si>
    <t>th_neveroff</t>
  </si>
  <si>
    <t>th_alwaysoff</t>
  </si>
  <si>
    <t>isel1</t>
  </si>
  <si>
    <t>isel0</t>
  </si>
  <si>
    <t>CP_SPARE</t>
  </si>
  <si>
    <t>CP_SPARE&lt;7:0&gt;</t>
  </si>
  <si>
    <t>00000000</t>
  </si>
  <si>
    <t>CFG_CPCLK0</t>
  </si>
  <si>
    <t>&lt;7:4&gt;</t>
  </si>
  <si>
    <t>CPG_CPCLK0&lt;7:4&gt;</t>
  </si>
  <si>
    <t>0000</t>
  </si>
  <si>
    <t>&lt;3:2&gt;</t>
  </si>
  <si>
    <t>ALT_GEAR</t>
  </si>
  <si>
    <t>Alternative CP clock adjustment when CP is not fully active.
0=1X, 1=1/2X, 2=1/4X, 3=1/8X</t>
  </si>
  <si>
    <t>SS</t>
  </si>
  <si>
    <t>Enable spread spectrum frequency ramping on CP-clock.</t>
  </si>
  <si>
    <t>USER_DEF</t>
  </si>
  <si>
    <t>Override CP-clock frequency measurement circuit with default value.</t>
  </si>
  <si>
    <t>OTP Map (autogenerated)</t>
  </si>
  <si>
    <t>Address</t>
  </si>
  <si>
    <t>Page</t>
  </si>
  <si>
    <t>Block</t>
  </si>
  <si>
    <t>D7</t>
  </si>
  <si>
    <t>D6</t>
  </si>
  <si>
    <t>D5</t>
  </si>
  <si>
    <t>D4</t>
  </si>
  <si>
    <t>D3</t>
  </si>
  <si>
    <t>D2</t>
  </si>
  <si>
    <t>D1</t>
  </si>
  <si>
    <t>D0</t>
  </si>
  <si>
    <t>00h</t>
  </si>
  <si>
    <t>Page 0</t>
  </si>
  <si>
    <t>Block 0</t>
  </si>
  <si>
    <t>CFG_I2C_ADDR[3:0]</t>
  </si>
  <si>
    <t>PAGE_VALID[3:0]</t>
  </si>
  <si>
    <t>01h</t>
  </si>
  <si>
    <t>TR_OSC[4:0]</t>
  </si>
  <si>
    <t>CFG_I2C_ADDR[6:4]</t>
  </si>
  <si>
    <t>02h</t>
  </si>
  <si>
    <t>TR_BG_BUF[0]</t>
  </si>
  <si>
    <t>TR_IREF[5:0]</t>
  </si>
  <si>
    <t>TR_OSC[5]</t>
  </si>
  <si>
    <t>03h</t>
  </si>
  <si>
    <t>TR_VBG[2:0]</t>
  </si>
  <si>
    <t>TR_BG_BUF[5:1]</t>
  </si>
  <si>
    <t>04h</t>
  </si>
  <si>
    <t>TR_TSD[2:0]</t>
  </si>
  <si>
    <t>TR_VBG[7:3]</t>
  </si>
  <si>
    <t>05h</t>
  </si>
  <si>
    <t>TR_ZC[0]</t>
  </si>
  <si>
    <t>TR_CS[5:0]</t>
  </si>
  <si>
    <t>TR_TSD[3]</t>
  </si>
  <si>
    <t>06h</t>
  </si>
  <si>
    <t>TR_CP[2:0]</t>
  </si>
  <si>
    <t>TR_ZC[5:1]</t>
  </si>
  <si>
    <t>07h</t>
  </si>
  <si>
    <t>ECC</t>
  </si>
  <si>
    <t>TR_CP[3]</t>
  </si>
  <si>
    <t>08h</t>
  </si>
  <si>
    <t>Block 1</t>
  </si>
  <si>
    <t>TR_SPARE[7:0]</t>
  </si>
  <si>
    <t>09h</t>
  </si>
  <si>
    <t>CFG_CP0[7:0]</t>
  </si>
  <si>
    <t>0Ah</t>
  </si>
  <si>
    <t>CFG_CP1[7:0]</t>
  </si>
  <si>
    <t>0Bh</t>
  </si>
  <si>
    <t>CFG_CP2[7:0]</t>
  </si>
  <si>
    <t>0Ch</t>
  </si>
  <si>
    <t>CFG_CP3[7:0]</t>
  </si>
  <si>
    <t>0Dh</t>
  </si>
  <si>
    <t>CFG_CP4[7:0]</t>
  </si>
  <si>
    <t>0Eh</t>
  </si>
  <si>
    <t>CFG_CP5[7:0]</t>
  </si>
  <si>
    <t>0Fh</t>
  </si>
  <si>
    <t>CFG_CP6[0]</t>
  </si>
  <si>
    <t>10h</t>
  </si>
  <si>
    <t>Block 2</t>
  </si>
  <si>
    <t>SEL_LO</t>
  </si>
  <si>
    <t>CFG_CP6[7:1]</t>
  </si>
  <si>
    <t>11h</t>
  </si>
  <si>
    <t>SDA_OUT[1:0]</t>
  </si>
  <si>
    <t>SDA_IN[1:0]</t>
  </si>
  <si>
    <t>SCL_IN[1:0]</t>
  </si>
  <si>
    <t>12h</t>
  </si>
  <si>
    <t>CFG_SPARE[2:0]</t>
  </si>
  <si>
    <t>PGATE[4:0]</t>
  </si>
  <si>
    <t>13h</t>
  </si>
  <si>
    <t>ZCD</t>
  </si>
  <si>
    <t>PX_LO_LATCH</t>
  </si>
  <si>
    <t>PX_LO_RAW</t>
  </si>
  <si>
    <t>CFG_SPARE[7:3]</t>
  </si>
  <si>
    <t>14h</t>
  </si>
  <si>
    <t>VCD_OK</t>
  </si>
  <si>
    <t>VCC_OK</t>
  </si>
  <si>
    <t>VCB_OK</t>
  </si>
  <si>
    <t>VOUT_OK</t>
  </si>
  <si>
    <t>VPWR_OK</t>
  </si>
  <si>
    <t>PGATE_ON</t>
  </si>
  <si>
    <t>TSD</t>
  </si>
  <si>
    <t>ILIM</t>
  </si>
  <si>
    <t>15h</t>
  </si>
  <si>
    <t>CPCLKM_DEGLITCH[1:0]</t>
  </si>
  <si>
    <t>TSD_DEGLITCH[1:0]</t>
  </si>
  <si>
    <t>VOUT_FAULT</t>
  </si>
  <si>
    <t>16h</t>
  </si>
  <si>
    <t>VOUT_OK[1:0]</t>
  </si>
  <si>
    <t>VPWR_OK[1:0]</t>
  </si>
  <si>
    <t>ZCD_DEGLITCH[1:0]</t>
  </si>
  <si>
    <t>ILIM_DEGLITCH[1:0]</t>
  </si>
  <si>
    <t>17h</t>
  </si>
  <si>
    <t>PX_LO_LATCH[0]</t>
  </si>
  <si>
    <t>18h</t>
  </si>
  <si>
    <t>Block 3</t>
  </si>
  <si>
    <t>VCD_OK[0]</t>
  </si>
  <si>
    <t>VCC_OK[1:0]</t>
  </si>
  <si>
    <t>VCB_OK[1:0]</t>
  </si>
  <si>
    <t>PX_LO_RAW[1:0]</t>
  </si>
  <si>
    <t>PX_LO_LATCH[1]</t>
  </si>
  <si>
    <t>19h</t>
  </si>
  <si>
    <t>HICCUP[2:0]</t>
  </si>
  <si>
    <t>EN_DET[1:0]</t>
  </si>
  <si>
    <t>PGATE_ON[1:0]</t>
  </si>
  <si>
    <t>VCD_OK[1]</t>
  </si>
  <si>
    <t>1Ah</t>
  </si>
  <si>
    <t>BST_CHARGE[1:0]</t>
  </si>
  <si>
    <t>DISCHG_FLYCAP[2:0]</t>
  </si>
  <si>
    <t>DISCHG_PHASE[2:0]</t>
  </si>
  <si>
    <t>1Bh</t>
  </si>
  <si>
    <t>CP_START[0]</t>
  </si>
  <si>
    <t>STEPDOWN_SOFTSTART[2:0]</t>
  </si>
  <si>
    <t>STEPUP_SOFTSTART[2:0]</t>
  </si>
  <si>
    <t>BST_CHARGE[2]</t>
  </si>
  <si>
    <t>1Ch</t>
  </si>
  <si>
    <t>OFF[2:0]</t>
  </si>
  <si>
    <t>SHUTDOWN[2:0]</t>
  </si>
  <si>
    <t>CP_START[2:1]</t>
  </si>
  <si>
    <t>1Dh</t>
  </si>
  <si>
    <t>CPCLK_DEF_LO[3:0]</t>
  </si>
  <si>
    <t>ALT_GEAR[1:0]</t>
  </si>
  <si>
    <t>USE_DEF</t>
  </si>
  <si>
    <t>1Eh</t>
  </si>
  <si>
    <t>CPCLK_DEF_HI[3:0]</t>
  </si>
  <si>
    <t>CPCLK_DEF_LO[7:4]</t>
  </si>
  <si>
    <t>1Fh</t>
  </si>
  <si>
    <t>CPCLK_OFFSET[0]</t>
  </si>
  <si>
    <t>20h</t>
  </si>
  <si>
    <t>Block 4</t>
  </si>
  <si>
    <t>CPCLK_GAIN[1:0]</t>
  </si>
  <si>
    <t>CPCLK_OFFSET[6:1]</t>
  </si>
  <si>
    <t>21h</t>
  </si>
  <si>
    <t>CPCLK_MIN_LO[1:0]</t>
  </si>
  <si>
    <t>CPCLK_GAIN[7:2]</t>
  </si>
  <si>
    <t>22h</t>
  </si>
  <si>
    <t>CPCLK_MIN_HI[1:0]</t>
  </si>
  <si>
    <t>CPCLK_MIN_LO[7:2]</t>
  </si>
  <si>
    <t>23h</t>
  </si>
  <si>
    <t>CPCLK_MAX_LO[5:0]</t>
  </si>
  <si>
    <t>CPCLK_MIN_HI[3:2]</t>
  </si>
  <si>
    <t>24h</t>
  </si>
  <si>
    <t>BOOST_DIV[1:0]</t>
  </si>
  <si>
    <t>CPCLK_MAX_HI[3:0]</t>
  </si>
  <si>
    <t>CPCLK_MAX_LO[7:6]</t>
  </si>
  <si>
    <t>25h</t>
  </si>
  <si>
    <t>PX_LO_SEL</t>
  </si>
  <si>
    <t>DISABLE_STARTUP</t>
  </si>
  <si>
    <t>BUCK_DIV[3:0]</t>
  </si>
  <si>
    <t>BOOST_DIV[3:2]</t>
  </si>
  <si>
    <t>26h</t>
  </si>
  <si>
    <t>UNUSED0[6:0]</t>
  </si>
  <si>
    <t>NO_CLK_GATE</t>
  </si>
  <si>
    <t>27h</t>
  </si>
  <si>
    <t>UNUSED0[7]</t>
  </si>
  <si>
    <t>28h</t>
  </si>
  <si>
    <t>Page 1</t>
  </si>
  <si>
    <t>29h</t>
  </si>
  <si>
    <t>2Ah</t>
  </si>
  <si>
    <t>2Bh</t>
  </si>
  <si>
    <t>2Ch</t>
  </si>
  <si>
    <t>2Dh</t>
  </si>
  <si>
    <t>2Eh</t>
  </si>
  <si>
    <t>2Fh</t>
  </si>
  <si>
    <t>30h</t>
  </si>
  <si>
    <t>31h</t>
  </si>
  <si>
    <t>32h</t>
  </si>
  <si>
    <t>33h</t>
  </si>
  <si>
    <t>34h</t>
  </si>
  <si>
    <t>35h</t>
  </si>
  <si>
    <t>36h</t>
  </si>
  <si>
    <t>37h</t>
  </si>
  <si>
    <t>38h</t>
  </si>
  <si>
    <t>39h</t>
  </si>
  <si>
    <t>3Ah</t>
  </si>
  <si>
    <t>3Bh</t>
  </si>
  <si>
    <t>3Ch</t>
  </si>
  <si>
    <t>3Dh</t>
  </si>
  <si>
    <t>3Eh</t>
  </si>
  <si>
    <t>3Fh</t>
  </si>
  <si>
    <t>40h</t>
  </si>
  <si>
    <t>41h</t>
  </si>
  <si>
    <t>42h</t>
  </si>
  <si>
    <t>43h</t>
  </si>
  <si>
    <t>44h</t>
  </si>
  <si>
    <t>45h</t>
  </si>
  <si>
    <t>46h</t>
  </si>
  <si>
    <t>47h</t>
  </si>
  <si>
    <t>48h</t>
  </si>
  <si>
    <t>49h</t>
  </si>
  <si>
    <t>4Ah</t>
  </si>
  <si>
    <t>4Bh</t>
  </si>
  <si>
    <t>4Ch</t>
  </si>
  <si>
    <t>4Dh</t>
  </si>
  <si>
    <t>4Eh</t>
  </si>
  <si>
    <t>4Fh</t>
  </si>
  <si>
    <t>50h</t>
  </si>
  <si>
    <t>Page 2</t>
  </si>
  <si>
    <t>51h</t>
  </si>
  <si>
    <t>52h</t>
  </si>
  <si>
    <t>53h</t>
  </si>
  <si>
    <t>54h</t>
  </si>
  <si>
    <t>55h</t>
  </si>
  <si>
    <t>56h</t>
  </si>
  <si>
    <t>57h</t>
  </si>
  <si>
    <t>58h</t>
  </si>
  <si>
    <t>59h</t>
  </si>
  <si>
    <t>5Ah</t>
  </si>
  <si>
    <t>5Bh</t>
  </si>
  <si>
    <t>5Ch</t>
  </si>
  <si>
    <t>5Dh</t>
  </si>
  <si>
    <t>5Eh</t>
  </si>
  <si>
    <t>5Fh</t>
  </si>
  <si>
    <t>60h</t>
  </si>
  <si>
    <t>61h</t>
  </si>
  <si>
    <t>62h</t>
  </si>
  <si>
    <t>63h</t>
  </si>
  <si>
    <t>64h</t>
  </si>
  <si>
    <t>65h</t>
  </si>
  <si>
    <t>66h</t>
  </si>
  <si>
    <t>67h</t>
  </si>
  <si>
    <t>68h</t>
  </si>
  <si>
    <t>69h</t>
  </si>
  <si>
    <t>6Ah</t>
  </si>
  <si>
    <t>6Bh</t>
  </si>
  <si>
    <t>6Ch</t>
  </si>
  <si>
    <t>6Dh</t>
  </si>
  <si>
    <t>6Eh</t>
  </si>
  <si>
    <t>6Fh</t>
  </si>
  <si>
    <t>70h</t>
  </si>
  <si>
    <t>71h</t>
  </si>
  <si>
    <t>72h</t>
  </si>
  <si>
    <t>73h</t>
  </si>
  <si>
    <t>74h</t>
  </si>
  <si>
    <t>75h</t>
  </si>
  <si>
    <t>76h</t>
  </si>
  <si>
    <t>77h</t>
  </si>
  <si>
    <t>78h</t>
  </si>
  <si>
    <t>79h</t>
  </si>
  <si>
    <t>7Ah</t>
  </si>
  <si>
    <t>7Bh</t>
  </si>
  <si>
    <t>7Ch</t>
  </si>
  <si>
    <t>7Dh</t>
  </si>
  <si>
    <t>7Eh</t>
  </si>
  <si>
    <t>7Fh</t>
  </si>
  <si>
    <t>Category</t>
  </si>
  <si>
    <t>Register</t>
  </si>
  <si>
    <t>Addr</t>
  </si>
  <si>
    <t>Type</t>
  </si>
  <si>
    <t>Reset</t>
  </si>
  <si>
    <t>Default</t>
  </si>
  <si>
    <t>Description</t>
  </si>
  <si>
    <t>DIAG</t>
  </si>
  <si>
    <t>EVENT0</t>
  </si>
  <si>
    <t>00h (0)</t>
  </si>
  <si>
    <t>W1C</t>
  </si>
  <si>
    <t>N/A</t>
  </si>
  <si>
    <t>DBE</t>
  </si>
  <si>
    <t>SBE</t>
  </si>
  <si>
    <t>Captured fault/status events</t>
  </si>
  <si>
    <t>EVENT1</t>
  </si>
  <si>
    <t>01h (1)</t>
  </si>
  <si>
    <t>STATUS0</t>
  </si>
  <si>
    <t>04h (4)</t>
  </si>
  <si>
    <t>RO</t>
  </si>
  <si>
    <t>Current fault/status condition</t>
  </si>
  <si>
    <t>STATUS1</t>
  </si>
  <si>
    <t>05h (5)</t>
  </si>
  <si>
    <t>STATE</t>
  </si>
  <si>
    <t>08h (8)</t>
  </si>
  <si>
    <t>MAIN_STATE</t>
  </si>
  <si>
    <t>PWR_STATE</t>
  </si>
  <si>
    <t>State variables</t>
  </si>
  <si>
    <t>CPCLK_LO</t>
  </si>
  <si>
    <t>09h (9)</t>
  </si>
  <si>
    <t>CPCLK period (lower 8 bits)</t>
  </si>
  <si>
    <t>CPCLK_HI</t>
  </si>
  <si>
    <t>0Ah (10)</t>
  </si>
  <si>
    <t>CPCLK period (upper 4 bits)</t>
  </si>
  <si>
    <t>MODE</t>
  </si>
  <si>
    <t>0Bh (11)</t>
  </si>
  <si>
    <t>BOOST</t>
  </si>
  <si>
    <t>RATIO</t>
  </si>
  <si>
    <t>Ratio/Boost-mode</t>
  </si>
  <si>
    <t>TRIM</t>
  </si>
  <si>
    <t>TR_OSC</t>
  </si>
  <si>
    <t>10h (16)</t>
  </si>
  <si>
    <t>RW</t>
  </si>
  <si>
    <t>12MHz oscillator trim</t>
  </si>
  <si>
    <t>TR_IREF</t>
  </si>
  <si>
    <t>12h (18)</t>
  </si>
  <si>
    <t>Bias current reference trim</t>
  </si>
  <si>
    <t>TR_BG_BUF</t>
  </si>
  <si>
    <t>13h (19)</t>
  </si>
  <si>
    <t>Bandgap buffer voltage trim</t>
  </si>
  <si>
    <t>TR_VBG</t>
  </si>
  <si>
    <t>14h (20)</t>
  </si>
  <si>
    <t>Bandgap voltage trim</t>
  </si>
  <si>
    <t>TR_TSD</t>
  </si>
  <si>
    <t>15h (21)</t>
  </si>
  <si>
    <t>Thermal shutdown trim</t>
  </si>
  <si>
    <t>TR_CS</t>
  </si>
  <si>
    <t>16h (22)</t>
  </si>
  <si>
    <t>CP current trim</t>
  </si>
  <si>
    <t>TR_ZC</t>
  </si>
  <si>
    <t>17h (23)</t>
  </si>
  <si>
    <t>CP zero current trim</t>
  </si>
  <si>
    <t>TR_CP</t>
  </si>
  <si>
    <t>18h (24)</t>
  </si>
  <si>
    <t>CP extra trim</t>
  </si>
  <si>
    <t>TR_SPARE</t>
  </si>
  <si>
    <t>19h (25)</t>
  </si>
  <si>
    <t>extra trim for future ECOs</t>
  </si>
  <si>
    <t>ANALOG CONFIG</t>
  </si>
  <si>
    <t>CFG_CP0</t>
  </si>
  <si>
    <t>20h (32)</t>
  </si>
  <si>
    <t>Charge pump configuration</t>
  </si>
  <si>
    <t>CFG_CP1</t>
  </si>
  <si>
    <t>21h (33)</t>
  </si>
  <si>
    <t>CFG_CP2</t>
  </si>
  <si>
    <t>22h (34)</t>
  </si>
  <si>
    <t>CFG_CP3</t>
  </si>
  <si>
    <t>23h (35)</t>
  </si>
  <si>
    <t>CFG_CP4</t>
  </si>
  <si>
    <t>24h (36)</t>
  </si>
  <si>
    <t>CFG_CP5</t>
  </si>
  <si>
    <t>25h (37)</t>
  </si>
  <si>
    <t>CFG_CP6</t>
  </si>
  <si>
    <t>26h (38)</t>
  </si>
  <si>
    <t>27h (39)</t>
  </si>
  <si>
    <t>Voltage regulator configuration</t>
  </si>
  <si>
    <t>28h (40)</t>
  </si>
  <si>
    <t>SDA_OUT</t>
  </si>
  <si>
    <t>SDA_IN</t>
  </si>
  <si>
    <t>SCL_IN</t>
  </si>
  <si>
    <t>I2C I/O delay configuration</t>
  </si>
  <si>
    <t>CFG_PGATE</t>
  </si>
  <si>
    <t>29h (41)</t>
  </si>
  <si>
    <t>PGATE</t>
  </si>
  <si>
    <t>PGATE IN configuration</t>
  </si>
  <si>
    <t>CFG_SPARE</t>
  </si>
  <si>
    <t>2Ah (42)</t>
  </si>
  <si>
    <t>extra config for future ECOs</t>
  </si>
  <si>
    <t>DIGITAL CONFIG</t>
  </si>
  <si>
    <t>40h (64)</t>
  </si>
  <si>
    <t>CPCLK measurement</t>
  </si>
  <si>
    <t>CFG_CPCLK1</t>
  </si>
  <si>
    <t>41h (65)</t>
  </si>
  <si>
    <t>CPCLK_DEF_LO</t>
  </si>
  <si>
    <t>CFG_CPCLK2</t>
  </si>
  <si>
    <t>42h (66)</t>
  </si>
  <si>
    <t>CPCLK_DEF_HI</t>
  </si>
  <si>
    <t>CFG_CPCLK3</t>
  </si>
  <si>
    <t>43h (67)</t>
  </si>
  <si>
    <t>CPCLK_OFFSET</t>
  </si>
  <si>
    <t>CFG_CPCLK4</t>
  </si>
  <si>
    <t>44h (68)</t>
  </si>
  <si>
    <t>CPCLK_GAIN</t>
  </si>
  <si>
    <t>CFG_CPCLK5</t>
  </si>
  <si>
    <t>45h (69)</t>
  </si>
  <si>
    <t>CPCLK_MIN_LO</t>
  </si>
  <si>
    <t>CFG_CPCLK6</t>
  </si>
  <si>
    <t>46h (70)</t>
  </si>
  <si>
    <t>CPCLK_MIN_HI</t>
  </si>
  <si>
    <t>CFG_CPCLK7</t>
  </si>
  <si>
    <t>47h (71)</t>
  </si>
  <si>
    <t>FFh</t>
  </si>
  <si>
    <t>B0h</t>
  </si>
  <si>
    <t>CPCLK_MAX_LO</t>
  </si>
  <si>
    <t>CFG_CPCLK8</t>
  </si>
  <si>
    <t>48h (72)</t>
  </si>
  <si>
    <t>CPCLK_MAX_HI</t>
  </si>
  <si>
    <t>CFG_CLKSS</t>
  </si>
  <si>
    <t>49h (73)</t>
  </si>
  <si>
    <t>BBh</t>
  </si>
  <si>
    <t>BUCK_DIV</t>
  </si>
  <si>
    <t>BOOST_DIV</t>
  </si>
  <si>
    <t>CLK_SS frequency configuration</t>
  </si>
  <si>
    <t>CFG_BLANK0</t>
  </si>
  <si>
    <t>4Ah (74)</t>
  </si>
  <si>
    <t>Blanking configuration</t>
  </si>
  <si>
    <t>CFG_BLANK1</t>
  </si>
  <si>
    <t>4Bh (75)</t>
  </si>
  <si>
    <t>CFG_LATCH0</t>
  </si>
  <si>
    <t>4Ch (76)</t>
  </si>
  <si>
    <t>Latched fault configuration</t>
  </si>
  <si>
    <t>CFG_LATCH1</t>
  </si>
  <si>
    <t>4Dh (77)</t>
  </si>
  <si>
    <t>CFG_DEGLITCH0</t>
  </si>
  <si>
    <t>4Eh (78)</t>
  </si>
  <si>
    <t>A2h</t>
  </si>
  <si>
    <t>ZCD_DEGLITCH</t>
  </si>
  <si>
    <t>ILIM_DEGLITCH</t>
  </si>
  <si>
    <t>CPCLKM_DEGLITCH</t>
  </si>
  <si>
    <t>TSD_DEGLITCH</t>
  </si>
  <si>
    <t>Deglitch configuration</t>
  </si>
  <si>
    <t>CFG_DEGLITCH1</t>
  </si>
  <si>
    <t>4Fh (79)</t>
  </si>
  <si>
    <t>AAh</t>
  </si>
  <si>
    <t>CFG_DEGLITCH2</t>
  </si>
  <si>
    <t>50h (80)</t>
  </si>
  <si>
    <t>CFG_DEGLITCH3</t>
  </si>
  <si>
    <t>51h (81)</t>
  </si>
  <si>
    <t>EN_DET</t>
  </si>
  <si>
    <t>CFG_PTIME0</t>
  </si>
  <si>
    <t>52h (82)</t>
  </si>
  <si>
    <t>DISCHG_PHASE</t>
  </si>
  <si>
    <t>HICCUP</t>
  </si>
  <si>
    <t>timer configuration</t>
  </si>
  <si>
    <t>CFG_PTIME1</t>
  </si>
  <si>
    <t>53h (83)</t>
  </si>
  <si>
    <t>BST_CHARGE</t>
  </si>
  <si>
    <t>DISCHG_FLYCAP</t>
  </si>
  <si>
    <t>CFG_PTIME2</t>
  </si>
  <si>
    <t>54h (84)</t>
  </si>
  <si>
    <t>STEPDOWN_SOFTSTART</t>
  </si>
  <si>
    <t>STEPUP_SOFTSTART</t>
  </si>
  <si>
    <t>CFG_PTIME3</t>
  </si>
  <si>
    <t>55h (85)</t>
  </si>
  <si>
    <t>SHUTDOWN</t>
  </si>
  <si>
    <t>CP_START</t>
  </si>
  <si>
    <t>CFG_PTIME4</t>
  </si>
  <si>
    <t>56h (86)</t>
  </si>
  <si>
    <t>OFF</t>
  </si>
  <si>
    <t>CFG_I2C</t>
  </si>
  <si>
    <t>57h (87)</t>
  </si>
  <si>
    <t>CFG_I2C_ADDR</t>
  </si>
  <si>
    <t>I2C configuration</t>
  </si>
  <si>
    <t>0x30</t>
  </si>
  <si>
    <t>0x0</t>
  </si>
  <si>
    <t>CFG_START</t>
  </si>
  <si>
    <t>58h (88)</t>
  </si>
  <si>
    <t>startup configuration</t>
  </si>
  <si>
    <t>0x00</t>
  </si>
  <si>
    <t>PAGE</t>
  </si>
  <si>
    <t>59h (89)</t>
  </si>
  <si>
    <t>PAGE_VALID</t>
  </si>
  <si>
    <t>Page valid</t>
  </si>
  <si>
    <t>CFG_ETC</t>
  </si>
  <si>
    <t>5Ah (90)</t>
  </si>
  <si>
    <t>Miscelleanous configuration</t>
  </si>
  <si>
    <t>UNUSED</t>
  </si>
  <si>
    <t>OTP_UNUSED0</t>
  </si>
  <si>
    <t>60h (96)</t>
  </si>
  <si>
    <t>UNUSED0</t>
  </si>
  <si>
    <t>unused OTP</t>
  </si>
  <si>
    <t>SHADOW REGISTER IMAGE</t>
  </si>
  <si>
    <t>IMAGE_ADDR</t>
  </si>
  <si>
    <t>7Fh (127)</t>
  </si>
  <si>
    <t>ADDR</t>
  </si>
  <si>
    <t>Offset into shadow image</t>
  </si>
  <si>
    <t>IMAGE_DATA0</t>
  </si>
  <si>
    <t>80h (128)</t>
  </si>
  <si>
    <t>DATA0</t>
  </si>
  <si>
    <t>Shadow OTP image 0</t>
  </si>
  <si>
    <t>IMAGE_DATA1</t>
  </si>
  <si>
    <t>81h (129)</t>
  </si>
  <si>
    <t>DATA1</t>
  </si>
  <si>
    <t>Shadow OTP image 1</t>
  </si>
  <si>
    <t>IMAGE_DATA2</t>
  </si>
  <si>
    <t>82h (130)</t>
  </si>
  <si>
    <t>DATA2</t>
  </si>
  <si>
    <t>Shadow OTP image 2</t>
  </si>
  <si>
    <t>IMAGE_DATA3</t>
  </si>
  <si>
    <t>83h (131)</t>
  </si>
  <si>
    <t>DATA3</t>
  </si>
  <si>
    <t>Shadow OTP image 3</t>
  </si>
  <si>
    <t>IMAGE_DATA4</t>
  </si>
  <si>
    <t>84h (132)</t>
  </si>
  <si>
    <t>DATA4</t>
  </si>
  <si>
    <t>Shadow OTP image 4</t>
  </si>
  <si>
    <t>IMAGE_DATA5</t>
  </si>
  <si>
    <t>85h (133)</t>
  </si>
  <si>
    <t>DATA5</t>
  </si>
  <si>
    <t>Shadow OTP image 5</t>
  </si>
  <si>
    <t>IMAGE_DATA6</t>
  </si>
  <si>
    <t>86h (134)</t>
  </si>
  <si>
    <t>DATA6</t>
  </si>
  <si>
    <t>Shadow OTP image 6</t>
  </si>
  <si>
    <t>IMAGE_DATA7</t>
  </si>
  <si>
    <t>87h (135)</t>
  </si>
  <si>
    <t>DATA7</t>
  </si>
  <si>
    <t>Shadow OTP image 7</t>
  </si>
  <si>
    <t>DFT</t>
  </si>
  <si>
    <t>TM_I2C</t>
  </si>
  <si>
    <t>C0h (192)</t>
  </si>
  <si>
    <t>NO_RESET</t>
  </si>
  <si>
    <t>NO_INCR</t>
  </si>
  <si>
    <t>I2C control</t>
  </si>
  <si>
    <t>TM_DFT</t>
  </si>
  <si>
    <t>C1h (193)</t>
  </si>
  <si>
    <t>WO</t>
  </si>
  <si>
    <t>SCANMODE</t>
  </si>
  <si>
    <t>Enable scan testmode</t>
  </si>
  <si>
    <t>TM_LATCH_FAULT</t>
  </si>
  <si>
    <t>C2h (194)</t>
  </si>
  <si>
    <t>CLEAR_LF</t>
  </si>
  <si>
    <t>Allow exit from latched fault state</t>
  </si>
  <si>
    <t>TM_DIAG0</t>
  </si>
  <si>
    <t>C3h (195)</t>
  </si>
  <si>
    <t>SELECT0</t>
  </si>
  <si>
    <t>Select diagnostic data</t>
  </si>
  <si>
    <t>TM_DIAG1</t>
  </si>
  <si>
    <t>C4h (196)</t>
  </si>
  <si>
    <t>SELECT1</t>
  </si>
  <si>
    <t>TM_PMUX</t>
  </si>
  <si>
    <t>C5h (197)</t>
  </si>
  <si>
    <t>PMUX_D</t>
  </si>
  <si>
    <t>PMUX_A</t>
  </si>
  <si>
    <t>Enable test muxes</t>
  </si>
  <si>
    <t>TM_ADDR_A</t>
  </si>
  <si>
    <t>C6h (198)</t>
  </si>
  <si>
    <t>ADDR_A</t>
  </si>
  <si>
    <t>Analog test mux select</t>
  </si>
  <si>
    <t>TM_ADDR_D</t>
  </si>
  <si>
    <t>C7h (199)</t>
  </si>
  <si>
    <t>ADDR_D</t>
  </si>
  <si>
    <t>Digital test mux select</t>
  </si>
  <si>
    <t>TM_CP0</t>
  </si>
  <si>
    <t>C8h (200)</t>
  </si>
  <si>
    <t>BSTA</t>
  </si>
  <si>
    <t>BSTP</t>
  </si>
  <si>
    <t>SWD</t>
  </si>
  <si>
    <t>SWC</t>
  </si>
  <si>
    <t>SWB</t>
  </si>
  <si>
    <t>SWA</t>
  </si>
  <si>
    <t>PHS</t>
  </si>
  <si>
    <t>PLS</t>
  </si>
  <si>
    <t>CP testmodes</t>
  </si>
  <si>
    <t>TM_CP1</t>
  </si>
  <si>
    <t>C9h (201)</t>
  </si>
  <si>
    <t>LMD</t>
  </si>
  <si>
    <t>LMC</t>
  </si>
  <si>
    <t>LMB</t>
  </si>
  <si>
    <t>SSPH</t>
  </si>
  <si>
    <t>BSTD</t>
  </si>
  <si>
    <t>BSTC</t>
  </si>
  <si>
    <t>BSTB</t>
  </si>
  <si>
    <t>TM_CP2</t>
  </si>
  <si>
    <t>CAh (202)</t>
  </si>
  <si>
    <t>CS</t>
  </si>
  <si>
    <t>UVTH</t>
  </si>
  <si>
    <t>ENPD</t>
  </si>
  <si>
    <t>CSALL</t>
  </si>
  <si>
    <t>TM_REF</t>
  </si>
  <si>
    <t>CBh (203)</t>
  </si>
  <si>
    <t>PORB</t>
  </si>
  <si>
    <t>REFBIAS</t>
  </si>
  <si>
    <t>Reference/Bias testmodes</t>
  </si>
  <si>
    <t>TM_OVER0</t>
  </si>
  <si>
    <t>CCh (204)</t>
  </si>
  <si>
    <t>OV_DISCHARGE</t>
  </si>
  <si>
    <t>OV_RATIO1</t>
  </si>
  <si>
    <t>OV_RATIO0</t>
  </si>
  <si>
    <t>OV_BOOST_MODE</t>
  </si>
  <si>
    <t>Override signals</t>
  </si>
  <si>
    <t>TM_OVER1</t>
  </si>
  <si>
    <t>CDh (205)</t>
  </si>
  <si>
    <t>OV_EN_CP</t>
  </si>
  <si>
    <t>OV_STATE2</t>
  </si>
  <si>
    <t>OV_STATE1</t>
  </si>
  <si>
    <t>OV_STATE0</t>
  </si>
  <si>
    <t>TM_OVER2</t>
  </si>
  <si>
    <t>CEh (206)</t>
  </si>
  <si>
    <t>OV_PGOOD_PD_N</t>
  </si>
  <si>
    <t>OV_PGOOD_VALID</t>
  </si>
  <si>
    <t>OV_PGATE_EN</t>
  </si>
  <si>
    <t>OV_EN_DIGITAL</t>
  </si>
  <si>
    <t>TM_OVER3</t>
  </si>
  <si>
    <t>CFh (207)</t>
  </si>
  <si>
    <t>OV_SOFTSW</t>
  </si>
  <si>
    <t>OV_DIG_READ</t>
  </si>
  <si>
    <t>OV_CPCLKM_START</t>
  </si>
  <si>
    <t>OV_CPCLKM_EN</t>
  </si>
  <si>
    <t>TM_STATE0</t>
  </si>
  <si>
    <t>D0h (208)</t>
  </si>
  <si>
    <t>MAIN</t>
  </si>
  <si>
    <t>PWR</t>
  </si>
  <si>
    <t>Enable state machine forcing</t>
  </si>
  <si>
    <t>TM_STATE1</t>
  </si>
  <si>
    <t>D1h (209)</t>
  </si>
  <si>
    <t>Forced state variables</t>
  </si>
  <si>
    <t>CPCLKM_CMD</t>
  </si>
  <si>
    <t>D2h (210)</t>
  </si>
  <si>
    <t>REFRESH</t>
  </si>
  <si>
    <t>CPCLK measurement command</t>
  </si>
  <si>
    <t>CPCLKM_STATUS</t>
  </si>
  <si>
    <t>D3h (211)</t>
  </si>
  <si>
    <t>COMP</t>
  </si>
  <si>
    <t>OVERFLOW</t>
  </si>
  <si>
    <t>LONG</t>
  </si>
  <si>
    <t>SHORT</t>
  </si>
  <si>
    <t>DONE</t>
  </si>
  <si>
    <t>CPCLK measurement status</t>
  </si>
  <si>
    <t>NVM ACCESS</t>
  </si>
  <si>
    <t>NVM_CTRL</t>
  </si>
  <si>
    <t>E0h (224)</t>
  </si>
  <si>
    <t>ECC_EN</t>
  </si>
  <si>
    <t>SIZE</t>
  </si>
  <si>
    <t>configure OTP access</t>
  </si>
  <si>
    <t>NVM_ADDR</t>
  </si>
  <si>
    <t>E1h (225)</t>
  </si>
  <si>
    <t>OTP row address</t>
  </si>
  <si>
    <t>NVM_CMD</t>
  </si>
  <si>
    <t>E2h (226)</t>
  </si>
  <si>
    <t>LOOP</t>
  </si>
  <si>
    <t>START_PAGE</t>
  </si>
  <si>
    <t>RELOAD_CMD</t>
  </si>
  <si>
    <t>READ_CMD</t>
  </si>
  <si>
    <t>WRITE_CMD</t>
  </si>
  <si>
    <t>request read, write, reload</t>
  </si>
  <si>
    <t>NVM_STATUS</t>
  </si>
  <si>
    <t>E3h (227)</t>
  </si>
  <si>
    <t>LOAD_PAGE</t>
  </si>
  <si>
    <t>LOAD_ERR</t>
  </si>
  <si>
    <t>RELOAD_DONE</t>
  </si>
  <si>
    <t>READ_DONE</t>
  </si>
  <si>
    <t>WRITE_DONE</t>
  </si>
  <si>
    <t>OTP done flags</t>
  </si>
  <si>
    <t>OTP_CTRL0</t>
  </si>
  <si>
    <t>E4h (228)</t>
  </si>
  <si>
    <t>TM_PWE</t>
  </si>
  <si>
    <t>TM_PRD</t>
  </si>
  <si>
    <t>PTM</t>
  </si>
  <si>
    <t>PPROG</t>
  </si>
  <si>
    <t>manual control of OTP signals</t>
  </si>
  <si>
    <t>OTP_CTRL1</t>
  </si>
  <si>
    <t>E5h (229)</t>
  </si>
  <si>
    <t>VPP_ON</t>
  </si>
  <si>
    <t>power switching setting</t>
  </si>
  <si>
    <t>OTP_WTIM0</t>
  </si>
  <si>
    <t>E6h (230)</t>
  </si>
  <si>
    <t>WTIM_LO</t>
  </si>
  <si>
    <t>PWE timing</t>
  </si>
  <si>
    <t>OTP_WTIM1</t>
  </si>
  <si>
    <t>E7h (231)</t>
  </si>
  <si>
    <t>WTIM_HI</t>
  </si>
  <si>
    <t>NVM_DATA0</t>
  </si>
  <si>
    <t>E8h (232)</t>
  </si>
  <si>
    <t>64-bit ECC buffer</t>
  </si>
  <si>
    <t>NVM_DATA1</t>
  </si>
  <si>
    <t>E9h (233)</t>
  </si>
  <si>
    <t>NVM_DATA2</t>
  </si>
  <si>
    <t>EAh (234)</t>
  </si>
  <si>
    <t>NVM_DATA3</t>
  </si>
  <si>
    <t>EBh (235)</t>
  </si>
  <si>
    <t>NVM_DATA4</t>
  </si>
  <si>
    <t>ECh (236)</t>
  </si>
  <si>
    <t>NVM_DATA5</t>
  </si>
  <si>
    <t>EDh (237)</t>
  </si>
  <si>
    <t>NVM_DATA6</t>
  </si>
  <si>
    <t>EEh (238)</t>
  </si>
  <si>
    <t>NVM_DATA7</t>
  </si>
  <si>
    <t>EFh (239)</t>
  </si>
  <si>
    <t>ID</t>
  </si>
  <si>
    <t>DIE_REV</t>
  </si>
  <si>
    <t>FDh (253)</t>
  </si>
  <si>
    <t>ECO</t>
  </si>
  <si>
    <t>BASE</t>
  </si>
  <si>
    <t>die revision code</t>
  </si>
  <si>
    <t>CHIP_ID</t>
  </si>
  <si>
    <t>FEh (254)</t>
  </si>
  <si>
    <t>constant chip identifier</t>
  </si>
  <si>
    <t>PSEMI_ID</t>
  </si>
  <si>
    <t>FFh (255)</t>
  </si>
  <si>
    <t>95h</t>
  </si>
  <si>
    <t>constant pSemi ID code</t>
  </si>
  <si>
    <t>Volatile:</t>
  </si>
  <si>
    <t>Shadow:</t>
  </si>
  <si>
    <t>I2C Register Map (autogenerated)</t>
  </si>
  <si>
    <t>CSV path</t>
  </si>
  <si>
    <t>vader_register_map.csv</t>
  </si>
  <si>
    <t>Step 1:</t>
  </si>
  <si>
    <t>Specify the OTP parameters in the "OTP" worksheet</t>
  </si>
  <si>
    <t>P:\proj_vol1\VADER_DIGITAL\work\rmacomber\windows_files\vader_register_map.csv</t>
  </si>
  <si>
    <t>(This determines the number of OTP bits available for shadow registers)</t>
  </si>
  <si>
    <t>Step 2:</t>
  </si>
  <si>
    <t>Specify the I2C registers in the "Registers" worksheet</t>
  </si>
  <si>
    <t>(This defines the I2C register mapping without fields)</t>
  </si>
  <si>
    <t>Step 3:</t>
  </si>
  <si>
    <t>Specify the normal fields (not loaded from OTP) in the "Volatile" worksheet</t>
  </si>
  <si>
    <t>(Provides details about the fields in the volatile registers)</t>
  </si>
  <si>
    <t>Step4:</t>
  </si>
  <si>
    <t>Define the shadow fields (loaded from OTP) in the "Shadow" worksheet</t>
  </si>
  <si>
    <t>(Provides details about the fields in the shadow registers)</t>
  </si>
  <si>
    <t>vader_test_mux.csv</t>
  </si>
  <si>
    <t>Press the above button to assemble register and field data into the "Summary" and "OTP Map" worksheets</t>
  </si>
  <si>
    <t>P:\proj_vol1\VADER_DIGITAL\work\rmacomber\windows_files\vader_test_mux.csv</t>
  </si>
  <si>
    <t>Cell Name</t>
  </si>
  <si>
    <t>EO0128X8KA130BC02</t>
  </si>
  <si>
    <t>Depth</t>
  </si>
  <si>
    <t>Width</t>
  </si>
  <si>
    <t>OTP Bits</t>
  </si>
  <si>
    <t>OTP ECC blocks</t>
  </si>
  <si>
    <t>Page ECC blocks</t>
  </si>
  <si>
    <t>Page Bits</t>
  </si>
  <si>
    <t>Shadow Bits</t>
  </si>
  <si>
    <t>Page Count</t>
  </si>
  <si>
    <t>Extra ECC blocks</t>
  </si>
  <si>
    <t>Base</t>
  </si>
  <si>
    <t>Range</t>
  </si>
  <si>
    <t>RTL Block</t>
  </si>
  <si>
    <t>Instance Path</t>
  </si>
  <si>
    <t>regs</t>
  </si>
  <si>
    <t>i_scan_wrapper.i_functional_top.i_regs</t>
  </si>
  <si>
    <t>Name</t>
  </si>
  <si>
    <t>Addr-DEC</t>
  </si>
  <si>
    <t>Addr-HEX</t>
  </si>
  <si>
    <t>Short Description</t>
  </si>
  <si>
    <t>Write Logic</t>
  </si>
  <si>
    <t>w1c</t>
  </si>
  <si>
    <t>none</t>
  </si>
  <si>
    <t>regular</t>
  </si>
  <si>
    <t>TR_CPCLK</t>
  </si>
  <si>
    <t>CPCLK measurement trim</t>
  </si>
  <si>
    <t>special</t>
  </si>
  <si>
    <t>FieldName</t>
  </si>
  <si>
    <t>RegBit</t>
  </si>
  <si>
    <t>SignalName</t>
  </si>
  <si>
    <t>External</t>
  </si>
  <si>
    <t>px_lo_raw_event</t>
  </si>
  <si>
    <t>N</t>
  </si>
  <si>
    <t>PX Low condition was detected (raw version).</t>
  </si>
  <si>
    <t>px_lo_latch_event</t>
  </si>
  <si>
    <t>PX Low condition was detected (latched version).</t>
  </si>
  <si>
    <t>zcd_event</t>
  </si>
  <si>
    <t>CP zero current was detected.</t>
  </si>
  <si>
    <t>ilim_event</t>
  </si>
  <si>
    <t>CP input current limit was triggered.</t>
  </si>
  <si>
    <t>tsd_event</t>
  </si>
  <si>
    <t>Thermal shutdown was triggered.</t>
  </si>
  <si>
    <t>pgate_on_event</t>
  </si>
  <si>
    <t>PGATE on was triggered.</t>
  </si>
  <si>
    <t>sbe_event</t>
  </si>
  <si>
    <t>Single-bit error was corrected when loading shadow registers from OTP.</t>
  </si>
  <si>
    <t>dbe_event</t>
  </si>
  <si>
    <t>Dual-bit error was detected when loading shadow registers from OTP.</t>
  </si>
  <si>
    <t>vpwr_ok_event</t>
  </si>
  <si>
    <t>Vpower_OK was detected.</t>
  </si>
  <si>
    <t>vout_ok_event</t>
  </si>
  <si>
    <t>VOUT_OK was detected.</t>
  </si>
  <si>
    <t>vcb_ok_event</t>
  </si>
  <si>
    <t>VCB OK was detected.</t>
  </si>
  <si>
    <t>vcc_ok_event</t>
  </si>
  <si>
    <t>VCC_OK was detected.</t>
  </si>
  <si>
    <t>vcd_ok_event</t>
  </si>
  <si>
    <t>VCD_OK was detected.</t>
  </si>
  <si>
    <t>vout_fault_event</t>
  </si>
  <si>
    <t>VOUT_FAULT was detected.</t>
  </si>
  <si>
    <t>a_cp_status_dgl[5]</t>
  </si>
  <si>
    <t>Y</t>
  </si>
  <si>
    <t>PX Low condition is present (raw version).</t>
  </si>
  <si>
    <t>a_cp_status_dgl[6]</t>
  </si>
  <si>
    <t>PX Low condition is present (latched version).</t>
  </si>
  <si>
    <t>a_cp_status_dgl[7]</t>
  </si>
  <si>
    <t>CP zero current condition is present.</t>
  </si>
  <si>
    <t>a_cp_status_dgl[8]</t>
  </si>
  <si>
    <t>CP input current limit condition is present.</t>
  </si>
  <si>
    <t>a_tsd_dgl</t>
  </si>
  <si>
    <t>Thermal shutdown condition is present.</t>
  </si>
  <si>
    <t>a_pgate_on_dgl</t>
  </si>
  <si>
    <t>PGATE on condition is present.</t>
  </si>
  <si>
    <t>nvm_sbe</t>
  </si>
  <si>
    <t>nvm_dbe</t>
  </si>
  <si>
    <t>a_cp_status_dgl[0]</t>
  </si>
  <si>
    <t>Vpower_OK condition is present.</t>
  </si>
  <si>
    <t>a_cp_status_dgl[1]</t>
  </si>
  <si>
    <t>VOUT_OK condition is present.</t>
  </si>
  <si>
    <t>a_cp_status_dgl[4]</t>
  </si>
  <si>
    <t>VCB OK condition is present.</t>
  </si>
  <si>
    <t>a_cp_status_dgl[3]</t>
  </si>
  <si>
    <t>VCC_OK condition is present.</t>
  </si>
  <si>
    <t>a_cp_status_dgl[2]</t>
  </si>
  <si>
    <t>VCD_OK condition is present.</t>
  </si>
  <si>
    <t>vout_fault</t>
  </si>
  <si>
    <t>VOUT_OK is low in mission mode (active state).  This is normally a transient condition that will cause a transition to the HICCUP state.  It will be persistent if VOUT_OK is blanked.</t>
  </si>
  <si>
    <t>diag_pwr_state</t>
  </si>
  <si>
    <t>Power state machine state variable.</t>
  </si>
  <si>
    <t>diag_main_state</t>
  </si>
  <si>
    <t>Main state machine state variable.</t>
  </si>
  <si>
    <t>cpclkm_period[0+:8]</t>
  </si>
  <si>
    <t>currently active CP clock period (lower 8 bits).</t>
  </si>
  <si>
    <t>cpclkm_period[8+:4]</t>
  </si>
  <si>
    <t>currently active CP clock period (upper 4 bits).</t>
  </si>
  <si>
    <t>d_ratio</t>
  </si>
  <si>
    <t>active conversion ratio setting.</t>
  </si>
  <si>
    <t>d_boost_mode</t>
  </si>
  <si>
    <t>active boost mode setting.</t>
  </si>
  <si>
    <t>image_addr</t>
  </si>
  <si>
    <t>Offset of 64-bit block within the compressed shadow register image.</t>
  </si>
  <si>
    <t>shadow.raw[image_addr][0+:8]</t>
  </si>
  <si>
    <t>Compressed shadow register image - byte 0</t>
  </si>
  <si>
    <t>shadow.raw[image_addr][8+:8]</t>
  </si>
  <si>
    <t>Compressed shadow register image - byte 1</t>
  </si>
  <si>
    <t>shadow.raw[image_addr][16+:8]</t>
  </si>
  <si>
    <t>Compressed shadow register image - byte 2</t>
  </si>
  <si>
    <t>shadow.raw[image_addr][24+:8]</t>
  </si>
  <si>
    <t>Compressed shadow register image - byte 3</t>
  </si>
  <si>
    <t>shadow.raw[image_addr][32+:8]</t>
  </si>
  <si>
    <t>Compressed shadow register image - byte 4</t>
  </si>
  <si>
    <t>shadow.raw[image_addr][40+:8]</t>
  </si>
  <si>
    <t>Compressed shadow register image - byte 5</t>
  </si>
  <si>
    <t>shadow.raw[image_addr][48+:8]</t>
  </si>
  <si>
    <t>Compressed shadow register image - byte 6</t>
  </si>
  <si>
    <t>shadow.raw[image_addr][56+:1]</t>
  </si>
  <si>
    <t>Compressed shadow register image - byte 7</t>
  </si>
  <si>
    <t>idxnotinc</t>
  </si>
  <si>
    <t>Disable register address incrementing in multi-byte read and write I2C accesses.</t>
  </si>
  <si>
    <t>d_tm_i2c</t>
  </si>
  <si>
    <t>I2C I/O testmodes.</t>
  </si>
  <si>
    <t>tm_inhibit_i2c_reset</t>
  </si>
  <si>
    <t>Keep I2C out of reset (useful when forcing main state).</t>
  </si>
  <si>
    <t>set_scanmode</t>
  </si>
  <si>
    <t>Set to enable scan mode.</t>
  </si>
  <si>
    <t>tm_clear_latch_fault</t>
  </si>
  <si>
    <t>Allow exit from PWR_LATCH_FAULT state.</t>
  </si>
  <si>
    <t>tm_diag0_sel_raw</t>
  </si>
  <si>
    <t>Select internal signal for output on d_tm_diag[0].</t>
  </si>
  <si>
    <t>tm_diag1_sel_raw</t>
  </si>
  <si>
    <t>Select internal signal for output on d_tm_diag[1].</t>
  </si>
  <si>
    <t>d_tm_en_pmux_a</t>
  </si>
  <si>
    <t>Enable analog test mux.</t>
  </si>
  <si>
    <t>d_tm_en_pmux_d</t>
  </si>
  <si>
    <t>Enable digital test mux.</t>
  </si>
  <si>
    <t>d_tm_testaddr_a</t>
  </si>
  <si>
    <t>Analog test mux select.</t>
  </si>
  <si>
    <t>d_tm_testaddr_d</t>
  </si>
  <si>
    <t>Digital test mux select.</t>
  </si>
  <si>
    <t>d_tm_cp[0]</t>
  </si>
  <si>
    <t>force PLS1/2 = 1.</t>
  </si>
  <si>
    <t>d_tm_cp[1]</t>
  </si>
  <si>
    <t>force PHS1/2 = 1.</t>
  </si>
  <si>
    <t>d_tm_cp[2]</t>
  </si>
  <si>
    <t>force SW A1/2 = 1.</t>
  </si>
  <si>
    <t>d_tm_cp[3]</t>
  </si>
  <si>
    <t>force SW B1/2 = 1.</t>
  </si>
  <si>
    <t>d_tm_cp[4]</t>
  </si>
  <si>
    <t>force SW C1/2 = 1.</t>
  </si>
  <si>
    <t>d_tm_cp[5]</t>
  </si>
  <si>
    <t>force SW D1/2 = 1.</t>
  </si>
  <si>
    <t>d_tm_cp[6]</t>
  </si>
  <si>
    <t>force BST PHS1/2 = 1.</t>
  </si>
  <si>
    <t>d_tm_cp[7]</t>
  </si>
  <si>
    <t>force BST A1/2 = 1.</t>
  </si>
  <si>
    <t>d_tm_cp[8]</t>
  </si>
  <si>
    <t>force BST B1/2 = 1.</t>
  </si>
  <si>
    <t>d_tm_cp[9]</t>
  </si>
  <si>
    <t>force BST C1/2 = 1.</t>
  </si>
  <si>
    <t>d_tm_cp[10]</t>
  </si>
  <si>
    <t>force BST D1/2 = 1.</t>
  </si>
  <si>
    <t>d_tm_cp[11]</t>
  </si>
  <si>
    <t>force ss_phase = 1.</t>
  </si>
  <si>
    <t>d_tm_cp[12]</t>
  </si>
  <si>
    <t>force ss = 1.</t>
  </si>
  <si>
    <t>d_tm_cp[13]</t>
  </si>
  <si>
    <t>force LM B = 1.</t>
  </si>
  <si>
    <t>d_tm_cp[14]</t>
  </si>
  <si>
    <t>force LM C = 1.</t>
  </si>
  <si>
    <t>d_tm_cp[15]</t>
  </si>
  <si>
    <t>force LM D = 1.</t>
  </si>
  <si>
    <t>d_tm_cp[16]</t>
  </si>
  <si>
    <t>disable all switches.</t>
  </si>
  <si>
    <t>d_tm_cp[17]</t>
  </si>
  <si>
    <t>Enable PD.</t>
  </si>
  <si>
    <t>d_tm_cp[18]</t>
  </si>
  <si>
    <t>export UV Vth to TMUX.</t>
  </si>
  <si>
    <t>d_tm_cp[23:19]</t>
  </si>
  <si>
    <t>CS testbus:
[0] - shut down floating regulator and op (LV) for the CS current mirror gain.
[1] - shut down CS-out current mirror.
[2] - shut down offset current mirror.
[3] - shutdown CS trim and ZCD trim at the same time.
[4] - reserved</t>
  </si>
  <si>
    <t>d_tm_refbias</t>
  </si>
  <si>
    <t>Reference/Bias testmode.</t>
  </si>
  <si>
    <t>d_tm_porb</t>
  </si>
  <si>
    <t>Power on reset testmode.</t>
  </si>
  <si>
    <t>tm_ov_boost_mode</t>
  </si>
  <si>
    <t>Override d_boost_mode.  00b/01b=normal, 10b=low, 11b=high.</t>
  </si>
  <si>
    <t>tm_ov_ratio0</t>
  </si>
  <si>
    <t>Override d_ratio[0].  00b/01b=normal, 10b=low, 11b=high.</t>
  </si>
  <si>
    <t>tm_ov_ratio1</t>
  </si>
  <si>
    <t>Override d_ratio[1].  00b/01b=normal, 10b=low, 11b=high.</t>
  </si>
  <si>
    <t>tm_ov_discharge</t>
  </si>
  <si>
    <t>Override d_cp_discharge.  00b/01b=normal, 10b=low, 11b=high.</t>
  </si>
  <si>
    <t>tm_ov_state0</t>
  </si>
  <si>
    <t>Override d_cp_state[0].  00b/01b=normal, 10b=low, 11b=high.</t>
  </si>
  <si>
    <t>tm_ov_state1</t>
  </si>
  <si>
    <t>Override d_cp_state[1].  00b/01b=normal, 10b=low, 11b=high.</t>
  </si>
  <si>
    <t>tm_ov_state2</t>
  </si>
  <si>
    <t>Override d_cp_state[2].  00b/01b=normal, 10b=low, 11b=high.</t>
  </si>
  <si>
    <t>tm_ov_en_cp</t>
  </si>
  <si>
    <t>Override d_en_cp.  00b/01b=normal, 10b=low, 11b=high.</t>
  </si>
  <si>
    <t>tm_ov_en_digital</t>
  </si>
  <si>
    <t>Override d_en_digital.  00b/01b=normal, 10b=low, 11b=high.</t>
  </si>
  <si>
    <t>tm_ov_pgate_en</t>
  </si>
  <si>
    <t>Override d_pgate_en.  00b/01b=normal, 10b=low, 11b=high.</t>
  </si>
  <si>
    <t>tm_ov_pgood_valid</t>
  </si>
  <si>
    <t>Override d_pgood_valid.  00b/01b=normal, 10b=low, 11b=high.</t>
  </si>
  <si>
    <t>tm_ov_pgood_pd_n</t>
  </si>
  <si>
    <t>Override d_pgood_pd_n.  00b/01b=normal, 10b=low, 11b=high.</t>
  </si>
  <si>
    <t>tm_ov_cpclkm_en</t>
  </si>
  <si>
    <t>Override d_cpclkm_en.  00b/01b=normal, 10b=low, 11b=high.</t>
  </si>
  <si>
    <t>tm_ov_cpclkm_start</t>
  </si>
  <si>
    <t>Override d_cpclkm_start.  00b/01b=normal, 10b=low, 11b=high.</t>
  </si>
  <si>
    <t>tm_ov_dig_read</t>
  </si>
  <si>
    <t>Override d_dig_read. 00b/01b=normal, 10b=low, 11b=high.</t>
  </si>
  <si>
    <t>tm_ov_softsw</t>
  </si>
  <si>
    <t xml:space="preserve">N </t>
  </si>
  <si>
    <t>Override d_softsw. 00b/01b=normal, 10b=low, 11b=high.</t>
  </si>
  <si>
    <t>tm_force_pwr_en</t>
  </si>
  <si>
    <t>Enable forcing PWR state machine into state defined by TM_STATE1.PWR.</t>
  </si>
  <si>
    <t>tm_force_main_en</t>
  </si>
  <si>
    <t>Enable forcing MAIN state machine into state defined by TM_STATE1.MAIN.</t>
  </si>
  <si>
    <t>tm_force_pwr_state</t>
  </si>
  <si>
    <t>PWR state variable force value.  When TM_STATE0.PWR is set this the PWR state machine will be forced using this value.</t>
  </si>
  <si>
    <t>tm_force_main_state</t>
  </si>
  <si>
    <t>MAIN state variable force value.  When TM_STATE0.MAIN is set the MAIN state machine will be forced using this value.</t>
  </si>
  <si>
    <t>cpclkm_refresh_cmd</t>
  </si>
  <si>
    <t>Request refresh of CP-clock period configuration measurement</t>
  </si>
  <si>
    <t>cpclkm_refresh_done</t>
  </si>
  <si>
    <t>Refresh CP-clock period configuration measurement completed</t>
  </si>
  <si>
    <t>cpclkm_short</t>
  </si>
  <si>
    <t>CP-clock measured period is too short</t>
  </si>
  <si>
    <t>cpclkm_long</t>
  </si>
  <si>
    <t>CP-clock measured period is too long</t>
  </si>
  <si>
    <t>cpclkm_overflow</t>
  </si>
  <si>
    <t>CP-clock measurement failed due to an over-flow condition.  An overflow can be occur in the measuring counter or in the post-measure adjustment math.</t>
  </si>
  <si>
    <t>a_cpclkm_out_dgl</t>
  </si>
  <si>
    <t>a_cpclkm_out signal from analog domain.</t>
  </si>
  <si>
    <t>nvm_size</t>
  </si>
  <si>
    <t>Encoded OTP access size (in bytes):  00b=1, 01b=2, 10b=4, 11b=8.</t>
  </si>
  <si>
    <t>nvm_ecc_en</t>
  </si>
  <si>
    <t>Enable Error Correction Code (ECC) generation and checking.</t>
  </si>
  <si>
    <t>nvm_addr</t>
  </si>
  <si>
    <t>OTP row address (may be internally truncated as multi-row OTP accesses are always aligned).</t>
  </si>
  <si>
    <t>nvm_write_cmd</t>
  </si>
  <si>
    <t>OTP write command (must be manually cleared after NVM_STATUS.WRITE_DONE).</t>
  </si>
  <si>
    <t>nvm_read_cmd</t>
  </si>
  <si>
    <t>OTP read command (must be manually cleared after NVM_STATUS.READ_DONE).</t>
  </si>
  <si>
    <t>nvm_reload_cmd</t>
  </si>
  <si>
    <t>OTP reload command (must be manually cleared after NVM_STATUS.RELOAD_DONE).</t>
  </si>
  <si>
    <t>nvm_start_page</t>
  </si>
  <si>
    <t>Index of starting OTP page to load.  Allows having multiple valid pages in OTP.</t>
  </si>
  <si>
    <t>tm_nvm_loop</t>
  </si>
  <si>
    <t>Repeatedly execute the requested command</t>
  </si>
  <si>
    <t>nvm_write_done</t>
  </si>
  <si>
    <t>OTP write command done (automatically cleared on NVM_CMD.WRITE_CMD=0).</t>
  </si>
  <si>
    <t>nvm_read_done</t>
  </si>
  <si>
    <t>OTP read command done (automatically cleared on NVM_CMD.READ_CMD=0).</t>
  </si>
  <si>
    <t>nvm_reload_done</t>
  </si>
  <si>
    <t>OTP reload command done (automatically cleared on NVM_CMD.RELOAD_CMD=0).</t>
  </si>
  <si>
    <t>nvm_load_err</t>
  </si>
  <si>
    <t>Unable to load shadow registers without error.</t>
  </si>
  <si>
    <t>nvm_page_index</t>
  </si>
  <si>
    <t>Index of final loaded page from OTP.  NVM_STATUS.LOAD_ERR bit indicates if load was successful.</t>
  </si>
  <si>
    <t>At least one single-bit error was detected and corrected while loading shadow registers from the current OTP page.</t>
  </si>
  <si>
    <t>An uncorrected dual-bit error was detected while loading from the current OTP page.  Shadow registers cannot be trusted to contain valid data.</t>
  </si>
  <si>
    <t>otp_pprog</t>
  </si>
  <si>
    <t>Manual, direct control of the OTP PPROG signal.</t>
  </si>
  <si>
    <t>otp_ptm</t>
  </si>
  <si>
    <t>Manual, direct control of the OTP PTM[1:0] signal bus.</t>
  </si>
  <si>
    <t>tm_otp_prd</t>
  </si>
  <si>
    <t>Manually extend assertion of the OTP PRD signal (read pulse).</t>
  </si>
  <si>
    <t>tm_otp_pwe</t>
  </si>
  <si>
    <t>Manually extend assertion of the OTP PWE signal (write pulse).</t>
  </si>
  <si>
    <t>d_tm_vpp_on</t>
  </si>
  <si>
    <t>VPP switch select:  0=5V, 1=7.5V</t>
  </si>
  <si>
    <t>nvm_pwe_time[0+:8]</t>
  </si>
  <si>
    <t>OTP write pulse time</t>
  </si>
  <si>
    <t>nvm_pwe_time[8+:8]</t>
  </si>
  <si>
    <t>nvm_buf_data[0]</t>
  </si>
  <si>
    <t>Byte-0 of the 64-bit ECC buffer (for OTP write, read and reload operations).</t>
  </si>
  <si>
    <t>nvm_buf_data[1]</t>
  </si>
  <si>
    <t>Byte-1 of the 64-bit ECC buffer (for OTP write, read and reload operations).</t>
  </si>
  <si>
    <t>nvm_buf_data[2]</t>
  </si>
  <si>
    <t>Byte-2 of the 64-bit ECC buffer (for OTP write, read and reload operations).</t>
  </si>
  <si>
    <t>nvm_buf_data[3]</t>
  </si>
  <si>
    <t>Byte-3 of the 64-bit ECC buffer(for OTP write, read and reload operations).</t>
  </si>
  <si>
    <t>nvm_buf_data[4]</t>
  </si>
  <si>
    <t>Byte-4 of the 64-bit ECC buffer (for OTP write, read and reload operations).</t>
  </si>
  <si>
    <t>nvm_buf_data[5]</t>
  </si>
  <si>
    <t>Byte-5 of the 64-bit ECC buffer (for OTP write, read and reload operations).</t>
  </si>
  <si>
    <t>nvm_buf_data[6]</t>
  </si>
  <si>
    <t>Byte-6 of the 64-bit ECC buffer(for OTP write, read and reload operations).</t>
  </si>
  <si>
    <t>nvm_buf_data[7]</t>
  </si>
  <si>
    <t>Byte-7 of the 64-bit ECC buffer (for OTP write, read and reload operations).</t>
  </si>
  <si>
    <t>a_mask_code[3:0]</t>
  </si>
  <si>
    <t>Major die revision code (typically for full layer tape-outs)</t>
  </si>
  <si>
    <t>a_mask_code[7:4]</t>
  </si>
  <si>
    <t>Minor die revision code (typically for ECO, metal layer tape-outs)</t>
  </si>
  <si>
    <t>CHIP_ID_CONST</t>
  </si>
  <si>
    <t xml:space="preserve">Hardwired to 16h. </t>
  </si>
  <si>
    <t>PSEMI_ID_CONST</t>
  </si>
  <si>
    <t>Hardwired to 95h.</t>
  </si>
  <si>
    <t>page_valid</t>
  </si>
  <si>
    <t>Located at the beginning of each OTP page.  In a valid page this field will be programmed to 1010b (Ah).</t>
  </si>
  <si>
    <t>cfg_i2c_addr</t>
  </si>
  <si>
    <t>Full 7-bit I2C-address.</t>
  </si>
  <si>
    <t>d_tr_osc</t>
  </si>
  <si>
    <t>12MHz oscillator trim.  This is a signed field (-32 to +31).</t>
  </si>
  <si>
    <t>d_tr_refbias[5:0]</t>
  </si>
  <si>
    <t>Trim bias current reference.</t>
  </si>
  <si>
    <t>d_tr_refbias[11:6]</t>
  </si>
  <si>
    <t>Trim bandgap buffer voltage.</t>
  </si>
  <si>
    <t>d_tr_refbias[19:12]</t>
  </si>
  <si>
    <t>Trim bandgap voltage.</t>
  </si>
  <si>
    <t>d_tr_refbias[23:20]</t>
  </si>
  <si>
    <t>Trim thermal shutdown.</t>
  </si>
  <si>
    <t>d_tr_cp[5:0]</t>
  </si>
  <si>
    <t>Trim CP current.</t>
  </si>
  <si>
    <t>d_tr_cp[11:6]</t>
  </si>
  <si>
    <t>Trim CP zero current.</t>
  </si>
  <si>
    <t>d_tr_cp[15:12]</t>
  </si>
  <si>
    <t>Spare CP trim bits.</t>
  </si>
  <si>
    <t>d_tr_spare</t>
  </si>
  <si>
    <t>Spare trim bits.</t>
  </si>
  <si>
    <t>d_cfg_cp[0+:8]</t>
  </si>
  <si>
    <t>Charge pump configuration
[4:0] CS offset
[8:5] CS gain 2nd
[11:9] CS-gain 3rd
[15:12] reserved
[19:16] Vpower UVLO threshold select *1.75+M*0.05
[22:20] BBM_PH short delay
[25:23] BBM_PH long delay
[26] BBM_PH 0 = short delay, 1 = long delay
[29:27] BBM_CP short delay
[32:30] BBM_CP long delay
[33] BBM_CP 0 = short delay, 1 = long delay
[34] PD_ST000
[36:35] DeglitchSW 00=1ns, 01=2.1ns, 10=2.4ns, 11=4.5ns
[37]  Enable soft switch when entering BUCK mission mode
[38] Disable PD and PxOK detectors
[39] Enable PxOK detection
[42:40] SS rate for SW B
[45:43] SS rate for SW C
[48:46] SS rate for SW D
[51:49] SS rate for Phase
[53:52] reserved
[55:54] CP soft-start clock selection</t>
  </si>
  <si>
    <t>d_cfg_cp[8+:8]</t>
  </si>
  <si>
    <t>d_cfg_cp[16+:8]</t>
  </si>
  <si>
    <t>d_cfg_cp[24+:8]</t>
  </si>
  <si>
    <t>d_cfg_cp[32+:8]</t>
  </si>
  <si>
    <t>d_cfg_cp[40+:8]</t>
  </si>
  <si>
    <t>d_cfg_cp[48+:8]</t>
  </si>
  <si>
    <t>d_cfg_refbias[0]</t>
  </si>
  <si>
    <t>Select low Bandgap.</t>
  </si>
  <si>
    <t>d_cfg_refbias[1]</t>
  </si>
  <si>
    <t>disable thermal shutdown.</t>
  </si>
  <si>
    <t>d_cfg_vdd</t>
  </si>
  <si>
    <t>low VDD configuration</t>
  </si>
  <si>
    <t>d_cfg_scl_del_in</t>
  </si>
  <si>
    <t>SCL input delay.</t>
  </si>
  <si>
    <t>d_cfg_sda_del_in</t>
  </si>
  <si>
    <t>SDA input delay.</t>
  </si>
  <si>
    <t>d_cfg_sda_del_out</t>
  </si>
  <si>
    <t>SDA output delay.</t>
  </si>
  <si>
    <t>d_cfg_pgate</t>
  </si>
  <si>
    <t>PGATE-IN configuration.</t>
  </si>
  <si>
    <t>d_cfg_spare</t>
  </si>
  <si>
    <t>Spare analog configuration.</t>
  </si>
  <si>
    <t>cfg_blank_px_lo_raw</t>
  </si>
  <si>
    <t>blank p1_lo_raw.</t>
  </si>
  <si>
    <t>cfg_blank_px_lo_latch</t>
  </si>
  <si>
    <t>blank p1_lo_latch.</t>
  </si>
  <si>
    <t>cfg_blank_zcd</t>
  </si>
  <si>
    <t>blank zcd.</t>
  </si>
  <si>
    <t>cfg_blank_ilim</t>
  </si>
  <si>
    <t>blank ilim.</t>
  </si>
  <si>
    <t>cfg_blank_tsd</t>
  </si>
  <si>
    <t>blank tsd.</t>
  </si>
  <si>
    <t>cfg_blank_pgate_on</t>
  </si>
  <si>
    <t>blank pgate_on.</t>
  </si>
  <si>
    <t>cfg_blank_vpwr_ok</t>
  </si>
  <si>
    <t>blank vpwr_uv.</t>
  </si>
  <si>
    <t>cfg_blank_vout_ok</t>
  </si>
  <si>
    <t>blank vout_uv.</t>
  </si>
  <si>
    <t>cfg_blank_vcb_ok</t>
  </si>
  <si>
    <t>blank vcb_uv.</t>
  </si>
  <si>
    <t>cfg_blank_vcc_ok</t>
  </si>
  <si>
    <t>blank vcc_uv.</t>
  </si>
  <si>
    <t>cfg_blank_vcd_ok</t>
  </si>
  <si>
    <t>blank vcd_uv.</t>
  </si>
  <si>
    <t>cfg_latch_zcd</t>
  </si>
  <si>
    <t>latch zcd fault.</t>
  </si>
  <si>
    <t>cfg_latch_ilim</t>
  </si>
  <si>
    <t>latch ilim fault.</t>
  </si>
  <si>
    <t>cfg_latch_tsd</t>
  </si>
  <si>
    <t>latch tsd fault.</t>
  </si>
  <si>
    <t>cfg_latch_vout_ok</t>
  </si>
  <si>
    <t>latch vout_fault.</t>
  </si>
  <si>
    <t>cfg_deglitch_tsd</t>
  </si>
  <si>
    <t>Deglitch filter setting for rising edge of a_tsd.
0=bypass, 1=10us, 2=25us, 3=50us</t>
  </si>
  <si>
    <t>cfg_deglitch_cpclkm</t>
  </si>
  <si>
    <t>Deglitch filter setting for rising edge of a_cpclkm_out.
0=bypass, 1=10us, 2=25us, 3=50us</t>
  </si>
  <si>
    <t>cfg_deglitch_ilim</t>
  </si>
  <si>
    <t>Deglitch filter setting for rising edge of CP current limit.
0=bypass, 1=10us, 2=25us, 3=50us</t>
  </si>
  <si>
    <t>cfg_deglitch_zcd</t>
  </si>
  <si>
    <t>Deglitch filter setting for rising edge of CP zero current detect.
0=bypass, 1=10us, 2=25us, 3=50us</t>
  </si>
  <si>
    <t>cfg_deglitch_vpwr_ok</t>
  </si>
  <si>
    <t>Deglitch filter setting for rising edge of VPWR_UV detect.
0=bypass, 1=10us, 2=25us, 3=50us</t>
  </si>
  <si>
    <t>cfg_deglitch_vout_ok</t>
  </si>
  <si>
    <t>Deglitch filter setting for falling edge of VOUT_UV detect.
0=bypass, 1=200us, 2=1ms, 3=2ms</t>
  </si>
  <si>
    <t>cfg_deglitch_px_lo_latch</t>
  </si>
  <si>
    <t>Deglitch filter setting for rising edge of P1 low detect (latched version).
0=bypass, 1=10us, 2=25us, 3=50us</t>
  </si>
  <si>
    <t>cfg_deglitch_px_lo_raw</t>
  </si>
  <si>
    <t>Deglitch filter setting for rising edge of P1 low detect (raw version).
0=bypass, 1=10us, 2=25us, 3=50us</t>
  </si>
  <si>
    <t>cfg_deglitch_vcb_ok</t>
  </si>
  <si>
    <t>Deglitch filter setting for rising/falling edges of VCB UV detect.
0=bypass, 1=10us, 2=25us, 3=50us</t>
  </si>
  <si>
    <t>cfg_deglitch_vcc_ok</t>
  </si>
  <si>
    <t>Deglitch filter setting for rising/falling edges of VCC UV detect.
0=bypass, 1=10us, 2=25us, 3=50us</t>
  </si>
  <si>
    <t>cfg_deglitch_vcd_ok</t>
  </si>
  <si>
    <t>Deglitch filter setting for rising/falling edges of VCD UV detect.
0=bypass, 1=10us, 2=25us, 3=50us</t>
  </si>
  <si>
    <t>cfg_deglitch_pgate_on</t>
  </si>
  <si>
    <t>Deglitch filter setting for rising edge of a_pgate_on.
0=bypass, 1=10us, 2=25us, 3=50us</t>
  </si>
  <si>
    <t>cfg_deglitch_en_det</t>
  </si>
  <si>
    <t>Deglitch filter setting for falling edge of a_en_det.
0=bypass, 1=10us, 2=25us, 3=50us</t>
  </si>
  <si>
    <t>cfg_hiccup_sel</t>
  </si>
  <si>
    <t>Select HICCUP state time interval.
0=10ms, 1=20ms, 2=30ms, 3=50ms,
4=100ms, 5=150ms, 6=200ms, 7=300ms</t>
  </si>
  <si>
    <t>cfg_discharge_phase_sel</t>
  </si>
  <si>
    <t>Select DISCHG_PHASE state time interval.
0=1ms, 1=2ms, 2=4ms, 3=8ms,
4=10ms, 5=20ms, 6=50ms, 7=100ms</t>
  </si>
  <si>
    <t>cfg_discharge_flycap_sel</t>
  </si>
  <si>
    <t>Select DISCHG_FLYCAP state time interval.
0=5ms, 1=10ms, 2=15ms, 3=20ms,
4=30ms, 5=40ms, 6=50ms, 7=100ms</t>
  </si>
  <si>
    <t>cfg_bst_charge_sel</t>
  </si>
  <si>
    <t>Select BST_CHARGE state time interval.
0=600us, 1=1ms, 2=2ms, 3=3ms,
4=4ms, 5=5ms, 6=10ms, 7=20ms</t>
  </si>
  <si>
    <t>cfg_stepup_softstart_sel</t>
  </si>
  <si>
    <t>Select STEPUP_SOFTSTART state time interval.
0=500us, 1=1ms, 2=2ms, 4ms,
4=56ms, 5=8ms, 6=10ms, 7=20ms</t>
  </si>
  <si>
    <t>cfg_stepdown_softstart_sel</t>
  </si>
  <si>
    <t>Select STEPDOWN_SOFTSTART state time interval.
0=300us, 1=500us, 2=1ms, 3=1.5ms,
4=2ms, 5=3ms, 6=4ms, 7=5ms</t>
  </si>
  <si>
    <t>cfg_cp_start_sel</t>
  </si>
  <si>
    <t>Select CP_START state time interval.
0=83ns, 1=100us, 2=200us, 3=300us,
4=400us, 5=500us, 6=600us, 7=700us</t>
  </si>
  <si>
    <t>cfg_shutdown_sel</t>
  </si>
  <si>
    <t>Select SHUTDOWN state time interval.
0=100us, 1=500us, 2=1ms, 3=1.5ms,
4=2ms, 5=5ms, 6=10ms, 7=20ms</t>
  </si>
  <si>
    <t>cfg_off_sel</t>
  </si>
  <si>
    <t>Select OFF state time interval.
0=100us, 1=500us, 2=1ms, 3=1.5ms,
4=2ms, 5=5ms, 6=10ms, 7=20ms</t>
  </si>
  <si>
    <t>cfg_cpclkm_use_def</t>
  </si>
  <si>
    <t>cfg_cpclk_ss_en</t>
  </si>
  <si>
    <t>cfg_cpclk_alt_gear</t>
  </si>
  <si>
    <t>cfg_cpclkm_default[0+:8]</t>
  </si>
  <si>
    <t>Default CP-CLOCK period (12MHz clock ticks).</t>
  </si>
  <si>
    <t>cfg_cpclkm_default[8+:4]</t>
  </si>
  <si>
    <t>cfg_cpclkm_offset</t>
  </si>
  <si>
    <t>Signed offset (range from -64 to +63), applied to measured count before gain.</t>
  </si>
  <si>
    <t>cfg_cpclkm_gain</t>
  </si>
  <si>
    <t>Fixed point format: 4 integer bits, 4 fractional bits, applied to measured count after offset.
Effective gain factor is equal to (CPCLK_GAIN+1)/16:  max=16, min=0.625.</t>
  </si>
  <si>
    <t>cfg_cpclkm_min[0+:8]</t>
  </si>
  <si>
    <t>Minimum allowed CP clock period. The CPCLK_MIN period will be used if the measured/adjusted period is less or equal to CPCLK_MIN.</t>
  </si>
  <si>
    <t>cfg_cpclkm_min[8+:4]</t>
  </si>
  <si>
    <t>cfg_cpclkm_max[0+:8]</t>
  </si>
  <si>
    <t>Maximum allowed CP clock period.  The CPCLK_MAX period will be use if measured/adjusted period is greater than or equal to CPCLK_MAX.</t>
  </si>
  <si>
    <t>cfg_cpclkm_max[8+:4]</t>
  </si>
  <si>
    <t>cfg_clkss_boost_div</t>
  </si>
  <si>
    <t>d_clkss frequency setting when d_boost_mode=1.  Divisor applied to 12MHz clock.  0=1/1, 1=1/2, 2=1/3, … 15=1/16</t>
  </si>
  <si>
    <t>cfg_clkss_buck_div</t>
  </si>
  <si>
    <t>d_clkss frequency setting when d_boost_mode=0.  Divisor applied to 12MHz clock.  0=1/1, 1=1/2, 2=1/3, … 15=1/17</t>
  </si>
  <si>
    <t>cfg_disable_startup</t>
  </si>
  <si>
    <t>Inhibit startup when set.  Prevents the charge pump from starting on unprogrammed devices.  Must be set to 0 to enable powering up the DC/DC converter.</t>
  </si>
  <si>
    <t>cfg_px_lo_sel</t>
  </si>
  <si>
    <t>Select between raw and latched version of PX LO status.  0=raw, 1=latched.</t>
  </si>
  <si>
    <t>cfg_no_clock_gate</t>
  </si>
  <si>
    <t>Disable clock gating for I2C register and NVM logic.</t>
  </si>
  <si>
    <t>unused[0+:8]</t>
  </si>
  <si>
    <t>unused bits in the OTP Page.  Available for new shadow registers.</t>
  </si>
  <si>
    <t>RemainingBits</t>
  </si>
  <si>
    <t>Selector Name</t>
  </si>
  <si>
    <t>Signal</t>
  </si>
  <si>
    <t>Comment</t>
  </si>
  <si>
    <t>TM_DIAG_LOW</t>
  </si>
  <si>
    <t>Constant low</t>
  </si>
  <si>
    <t>TM_DIAG_HIGH</t>
  </si>
  <si>
    <t>Constant high</t>
  </si>
  <si>
    <t>TM_DIAG_NVM_DBE</t>
  </si>
  <si>
    <t>Uncorrectable dual-bit error(s) detected in OTP</t>
  </si>
  <si>
    <t>TM_DIAG_NVM_SBE</t>
  </si>
  <si>
    <t>Corrected single-bit error(s) detected in OTP</t>
  </si>
  <si>
    <t>TM_DIAG_MAIN_RESET</t>
  </si>
  <si>
    <t>(diag_main_state == MAIN_RESET)</t>
  </si>
  <si>
    <t>Main state machine in MAIN_RESET state</t>
  </si>
  <si>
    <t>TM_DIAG_MAIN_LOAD_OTP</t>
  </si>
  <si>
    <t>(diag_main_state == MAIN_LOAD_OTP)</t>
  </si>
  <si>
    <t>Main state machine in MAIN_LOAD_OTP state</t>
  </si>
  <si>
    <t>TM_DIAG_MAIN_MEASURE_CPCLK</t>
  </si>
  <si>
    <t>(diag_main_state == MAIN_MEASURE_CPCLK)</t>
  </si>
  <si>
    <t>Main state machine in MAIN_MEASURE_CPCLK state</t>
  </si>
  <si>
    <t>TM_DIAG_MAIN_IDLE</t>
  </si>
  <si>
    <t>(diag_main_state == MAIN_IDLE)</t>
  </si>
  <si>
    <t>Main state machine in MAIN_IDLE state</t>
  </si>
  <si>
    <t>TM_DIAG_PWR_RESET</t>
  </si>
  <si>
    <t>(diag_pwr_state == PWR_RESET)</t>
  </si>
  <si>
    <t>Power state machine in PWR_RESET state</t>
  </si>
  <si>
    <t>TM_DIAG_PWR_INIT_SETTLE</t>
  </si>
  <si>
    <t>(diag_pwr_state == PWR_INIT_SETTLE)</t>
  </si>
  <si>
    <t>Power state machine in PWR_INIT_SETTLE state</t>
  </si>
  <si>
    <t>TM_DIAG_PWR_PGATE</t>
  </si>
  <si>
    <t>(diag_pwr_state == PWR_PGATE)</t>
  </si>
  <si>
    <t>Power state machine in PWR_PGATE state</t>
  </si>
  <si>
    <t>TM_DIAG_PWR_FAULT_CHECK</t>
  </si>
  <si>
    <t>(diag_pwr_state == PWR_FAULT_CHECK)</t>
  </si>
  <si>
    <t>Power state machine in PWR_FAULT_CHECK state</t>
  </si>
  <si>
    <t>TM_DIAG_PWR_WAIT_CHECK</t>
  </si>
  <si>
    <t>(diag_pwr_state == PWR_WAIT_CHECK)</t>
  </si>
  <si>
    <t>Power state machine in PWR_WAIT_CHECK state</t>
  </si>
  <si>
    <t>TM_DIAG_PWR_CP_START</t>
  </si>
  <si>
    <t>(diag_pwr_state == PWR_CP_START)</t>
  </si>
  <si>
    <t>Power state machine in PWR_CP_START state</t>
  </si>
  <si>
    <t>TM_DIAG_PWR_DISCHG_PHASE</t>
  </si>
  <si>
    <t>(diag_pwr_state == PWR_DISCHG_PHASE)</t>
  </si>
  <si>
    <t>Power state machine in PWR_DISCHG_PHASE state</t>
  </si>
  <si>
    <t>TM_DIAG_PWR_DISCHG_FLYCAP</t>
  </si>
  <si>
    <t>(diag_pwr_state == PWR_DISCHG_FLYCAP)</t>
  </si>
  <si>
    <t>Power state machine in PWR_DISCHG_FLYCAP state</t>
  </si>
  <si>
    <t>TM_DIAG_PWR_UP_SOFTSTART</t>
  </si>
  <si>
    <t>(diag_pwr_state == PWR_UP_SOFTSTART)</t>
  </si>
  <si>
    <t>Power state machine in PWR_UP_SOFTSTART state</t>
  </si>
  <si>
    <t>TM_DIAG_PWR_UP_ACTIVE</t>
  </si>
  <si>
    <t>(diag_pwr_state == PWR_UP_ACTIVE)</t>
  </si>
  <si>
    <t>Power state machine in PWR_UP_ACTIVE state</t>
  </si>
  <si>
    <t>TM_DIAG_PWR_DOWN_BSTCHARGE</t>
  </si>
  <si>
    <t>(diag_pwr_state == PWR_DOWN_BSTCHARGE)</t>
  </si>
  <si>
    <t>Power state machine in PWR_DOWN_BSTCHARGE state</t>
  </si>
  <si>
    <t>TM_DIAG_PWR_DOWN_SOFTSTART</t>
  </si>
  <si>
    <t>(diag_pwr_state == PWR_DOWN_SOFTSTART)</t>
  </si>
  <si>
    <t>Power state machine in PWR_DOWN_SOFTSTART state</t>
  </si>
  <si>
    <t>TM_DIAG_PWR_DOWN_ACTIVE</t>
  </si>
  <si>
    <t>(diag_pwr_state == PWR_DOWN_ACTIVE)</t>
  </si>
  <si>
    <t>Power state machine in PWR_DOWN_ACTIVE state</t>
  </si>
  <si>
    <t>TM_DIAG_PWR_HICCUP</t>
  </si>
  <si>
    <t>(diag_pwr_state == PWR_HICCUP)</t>
  </si>
  <si>
    <t>Power state machine in PWR_HICCUP state</t>
  </si>
  <si>
    <t>TM_DIAG_PWR_SHUTDOWN</t>
  </si>
  <si>
    <t>(diag_pwr_state == PWR_SHUTDOWN)</t>
  </si>
  <si>
    <t>Power state machine in PWR_SHUTDOWN state</t>
  </si>
  <si>
    <t>TM_DIAG_PWR_OFF</t>
  </si>
  <si>
    <t>(diag_pwr_state == PWR_OFF)</t>
  </si>
  <si>
    <t>Power state machine in PWR_OFF state</t>
  </si>
  <si>
    <t>TM_DIAG_PWR_LATCH_FAULT</t>
  </si>
  <si>
    <t>(diag_pwr_state == PWR_LATCH_FAULT)</t>
  </si>
  <si>
    <t>Power state machine in PWR_LATCH_FAULT state</t>
  </si>
  <si>
    <t>TM_DIAG_CP_STATUS0</t>
  </si>
  <si>
    <t>a_cp_status[0]</t>
  </si>
  <si>
    <t>VPWR OK</t>
  </si>
  <si>
    <t>TM_DIAG_CP_STATUS1</t>
  </si>
  <si>
    <t>a_cp_status[1]</t>
  </si>
  <si>
    <t>TM_DIAG_CP_STATUS2</t>
  </si>
  <si>
    <t>a_cp_status[2]</t>
  </si>
  <si>
    <t>TM_DIAG_CP_STATUS3</t>
  </si>
  <si>
    <t>a_cp_status[3]</t>
  </si>
  <si>
    <t>TM_DIAG_CP_STATUS4</t>
  </si>
  <si>
    <t>a_cp_status[4]</t>
  </si>
  <si>
    <t>TM_DIAG_CP_STATUS5</t>
  </si>
  <si>
    <t>a_cp_status[5]</t>
  </si>
  <si>
    <t>TM_DIAG_CP_STATUS6</t>
  </si>
  <si>
    <t>a_cp_status[6]</t>
  </si>
  <si>
    <t>PX_LO LATCH</t>
  </si>
  <si>
    <t>TM_DIAG_CP_STATUS7</t>
  </si>
  <si>
    <t>a_cp_status[7]</t>
  </si>
  <si>
    <t>TM_DIAG_CP_STATUS8</t>
  </si>
  <si>
    <t>a_cp_status[8]</t>
  </si>
  <si>
    <t>TM_DIAG_CP_STATUS_DGL0</t>
  </si>
  <si>
    <t>VPWR OK (deglitched)</t>
  </si>
  <si>
    <t>TM_DIAG_CP_STATUS_DGL1</t>
  </si>
  <si>
    <t>VOUT_OK (deglitched)</t>
  </si>
  <si>
    <t>TM_DIAG_CP_STATUS_DGL2</t>
  </si>
  <si>
    <t>VCD_OK (deglitched)</t>
  </si>
  <si>
    <t>TM_DIAG_CP_STATUS_DGL3</t>
  </si>
  <si>
    <t>VCC_OK (deglitched)</t>
  </si>
  <si>
    <t>TM_DIAG_CP_STATUS_DGL4</t>
  </si>
  <si>
    <t>VCB_OK (deglitched)</t>
  </si>
  <si>
    <t>TM_DIAG_CP_STATUS_DGL5</t>
  </si>
  <si>
    <t>PX_LO_RAW (deglitched)</t>
  </si>
  <si>
    <t>TM_DIAG_CP_STATUS_DGL6</t>
  </si>
  <si>
    <t>PX_LO LATCH (deglitched)</t>
  </si>
  <si>
    <t>TM_DIAG_CP_STATUS_DGL7</t>
  </si>
  <si>
    <t>ZCD (deglitched)</t>
  </si>
  <si>
    <t>TM_DIAG_CP_STATUS_DGL8</t>
  </si>
  <si>
    <t>ILIM (deglitched)</t>
  </si>
  <si>
    <t>TM_DIAG_CPCLKM_OUT</t>
  </si>
  <si>
    <t>a_cpclkm_out</t>
  </si>
  <si>
    <t>CP-clock measurement comparator output</t>
  </si>
  <si>
    <t>TM_DIAG_CPCLKM_OUT_DGL</t>
  </si>
  <si>
    <t>CP-clock measurement comparator output (deglitched)</t>
  </si>
  <si>
    <t>TM_DIAG_A_BOOST_MODE</t>
  </si>
  <si>
    <t>a_boost_mode</t>
  </si>
  <si>
    <t>boost mode input from analog</t>
  </si>
  <si>
    <t>TM_DIAG_EN_DET</t>
  </si>
  <si>
    <t>a_en_det</t>
  </si>
  <si>
    <t>EN pin</t>
  </si>
  <si>
    <t>TM_DIAG_EN_DET_DGL</t>
  </si>
  <si>
    <t>a_en_det_dgl</t>
  </si>
  <si>
    <t>EN pin (deglitched)</t>
  </si>
  <si>
    <t>TM_DIAG_PGATE_ON</t>
  </si>
  <si>
    <t>a_pgate_on</t>
  </si>
  <si>
    <t>PGATE_IN on</t>
  </si>
  <si>
    <t>TM_DIAG_PGATE_ON_DGL</t>
  </si>
  <si>
    <t>PGATE_IN on (deglitched)</t>
  </si>
  <si>
    <t>TM_DIAG_A_RATIO0</t>
  </si>
  <si>
    <t>a_ratio[0]</t>
  </si>
  <si>
    <t>ratio input from analog bit-0</t>
  </si>
  <si>
    <t>TM_DIAG_A_RATIO1</t>
  </si>
  <si>
    <t>a_ratio[1]</t>
  </si>
  <si>
    <t>ratio input from analog bit-1</t>
  </si>
  <si>
    <t>TM_DIAG_TSD</t>
  </si>
  <si>
    <t>a_tsd</t>
  </si>
  <si>
    <t>Thermal shutdown</t>
  </si>
  <si>
    <t>TM_DIAG_TSD_DGL</t>
  </si>
  <si>
    <t>Thermal shutdown (deglitched)</t>
  </si>
  <si>
    <t>TM_DIAG_D_BOOST_MODE</t>
  </si>
  <si>
    <t>boost mode output to analog</t>
  </si>
  <si>
    <t>TM_DIAG_CLK_CPA</t>
  </si>
  <si>
    <t>d_clk_cpa</t>
  </si>
  <si>
    <t>A CP-clock</t>
  </si>
  <si>
    <t>TM_DIAG_CLK_CPB</t>
  </si>
  <si>
    <t>d_clk_cpb</t>
  </si>
  <si>
    <t>B CP-clock</t>
  </si>
  <si>
    <t>TM_DIAG_CLK_SS</t>
  </si>
  <si>
    <t>d_clkss</t>
  </si>
  <si>
    <t>free running clock (divided down from 12MHz)</t>
  </si>
  <si>
    <t>TM_DIAG_CP_DISCHARGE</t>
  </si>
  <si>
    <t>d_cp_discharge</t>
  </si>
  <si>
    <t>enable CP discharge</t>
  </si>
  <si>
    <t>TM_DIAG_CPCLKM_EN</t>
  </si>
  <si>
    <t>d_cpclkm_en</t>
  </si>
  <si>
    <t>enable CP-clock measurement circuit</t>
  </si>
  <si>
    <t>TM_DIAG_CPCLKM_START</t>
  </si>
  <si>
    <t>d_cpclkm_start</t>
  </si>
  <si>
    <t>perform CP-clock measurement</t>
  </si>
  <si>
    <t>TM_DIAG_DIG_READ</t>
  </si>
  <si>
    <t>d_dig_read</t>
  </si>
  <si>
    <t>enable inputs for a_boost_mode, a_ratio</t>
  </si>
  <si>
    <t>TM_DIAG_EN_CP</t>
  </si>
  <si>
    <t>d_en_cp</t>
  </si>
  <si>
    <t>enable change pump</t>
  </si>
  <si>
    <t>TM_DIAG_EN_DIGITAL</t>
  </si>
  <si>
    <t>d_en_digital</t>
  </si>
  <si>
    <t>digital ready</t>
  </si>
  <si>
    <t>TM_DIAG_PGATE_EN</t>
  </si>
  <si>
    <t>d_pgate_en</t>
  </si>
  <si>
    <t>enable PGATE-IN</t>
  </si>
  <si>
    <t>TM_DIAG_PGOOD_PD_N</t>
  </si>
  <si>
    <t>d_pgood_pd_n</t>
  </si>
  <si>
    <t>PGOOD pulldown (active low)</t>
  </si>
  <si>
    <t>TM_DIAG_PGOOD_VALID</t>
  </si>
  <si>
    <t>d_pgood_valid</t>
  </si>
  <si>
    <t>PGOOD enable</t>
  </si>
  <si>
    <t>TM_DIAG_D_RATIO0</t>
  </si>
  <si>
    <t>d_ratio[0]</t>
  </si>
  <si>
    <t>ratio[0] to analog</t>
  </si>
  <si>
    <t>TM_DIAG_D_RATIO1</t>
  </si>
  <si>
    <t>d_ratio[1]</t>
  </si>
  <si>
    <t>ratiop1[ to analog</t>
  </si>
  <si>
    <t>TM_DIAG_SOFTSW</t>
  </si>
  <si>
    <t>d_softsw</t>
  </si>
  <si>
    <t>CP-clock speed 0=full-speed, 1=softstart-speed</t>
  </si>
  <si>
    <t>TM_DIAG_STATE0</t>
  </si>
  <si>
    <t>d_state[0]</t>
  </si>
  <si>
    <t>CP state, bit-0</t>
  </si>
  <si>
    <t>TM_DIAG_STATE1</t>
  </si>
  <si>
    <t>d_state[1]</t>
  </si>
  <si>
    <t>CP state, bit-1</t>
  </si>
  <si>
    <t>TM_DIAG_STATE2</t>
  </si>
  <si>
    <t>d_state[2]</t>
  </si>
  <si>
    <t>CP state, bit-2</t>
  </si>
  <si>
    <t>TM_DIAG_REG_CLK_REQ</t>
  </si>
  <si>
    <t>reg_clk_req</t>
  </si>
  <si>
    <t>clock gate enable for register/NVM gated clock</t>
  </si>
  <si>
    <t>TM_DIAG_VOUT_FAULT</t>
  </si>
  <si>
    <t>VOUT_OK low in mission mode (active states)</t>
  </si>
  <si>
    <t>Access Type</t>
  </si>
  <si>
    <t>Read only, Write ignored</t>
  </si>
  <si>
    <t>Read Write</t>
  </si>
  <si>
    <t>RC</t>
  </si>
  <si>
    <t>Clear-on-read, Write ignored</t>
  </si>
  <si>
    <t>RS</t>
  </si>
  <si>
    <t>Set-on-read, Write ignored</t>
  </si>
  <si>
    <t>WRC</t>
  </si>
  <si>
    <t>Write, Clear-on-read</t>
  </si>
  <si>
    <t>WRS</t>
  </si>
  <si>
    <t>Write, Set-on-read</t>
  </si>
  <si>
    <t>WC</t>
  </si>
  <si>
    <t>Read, Clear-on-write</t>
  </si>
  <si>
    <t>WS</t>
  </si>
  <si>
    <t>Read, Set-on-write</t>
  </si>
  <si>
    <t>WSRC</t>
  </si>
  <si>
    <t>Set-on-write, Clear-on-read</t>
  </si>
  <si>
    <t>WCRS</t>
  </si>
  <si>
    <t>Clear-on-write, Set-on-read</t>
  </si>
  <si>
    <t>Read, Write '1' to Clear, '0' no effect</t>
  </si>
  <si>
    <t>W1S</t>
  </si>
  <si>
    <t>Read, Write '1' to Set, '0' no effect</t>
  </si>
  <si>
    <t>W1T</t>
  </si>
  <si>
    <t>Read, Write '1' to Toggle, '0' no effect</t>
  </si>
  <si>
    <t>W0C</t>
  </si>
  <si>
    <t>Read, Write '0' to Clear, '1' no effect</t>
  </si>
  <si>
    <t>W0S</t>
  </si>
  <si>
    <t>Read, Write '0' to Set, '1' no effect</t>
  </si>
  <si>
    <t>W0T</t>
  </si>
  <si>
    <t>Read, Write '0' to Toggle, '1' no effect</t>
  </si>
  <si>
    <t>W1SRC</t>
  </si>
  <si>
    <t>Write '1' to Clear, '0' no effect, Set-on-read</t>
  </si>
  <si>
    <t>W0CRS</t>
  </si>
  <si>
    <t>Write '0' to Clear, '1' no effect, Set-on-read</t>
  </si>
  <si>
    <t>Write only, Read ignored</t>
  </si>
  <si>
    <t>WOC</t>
  </si>
  <si>
    <t>Clear-on-write, Read ignored</t>
  </si>
  <si>
    <t>WOS</t>
  </si>
  <si>
    <t>Set-on-write, Read ignored</t>
  </si>
  <si>
    <t>W1</t>
  </si>
  <si>
    <t>Read, Write once after hard reset, subsequent writes ignored</t>
  </si>
  <si>
    <t>`</t>
  </si>
  <si>
    <t>WO1</t>
  </si>
  <si>
    <t>Write once after hard reset, subsequent writes ignored, Read ignored</t>
  </si>
  <si>
    <t>Version</t>
  </si>
  <si>
    <t>Date</t>
  </si>
  <si>
    <t>Notes</t>
  </si>
  <si>
    <t>Initial version, copied from Aragorn project.</t>
  </si>
  <si>
    <t>Added RTL Block column to register table</t>
  </si>
  <si>
    <t>Added Digital Test Mux worksheet</t>
  </si>
  <si>
    <t>Added drop down list for access types</t>
  </si>
  <si>
    <t>Added Address Map worksheet, added CPCLK configuration registers. Numerous updates from 1st pass alignment with Tim Yu.</t>
  </si>
  <si>
    <t>Added TM_OVER2 and TM_OVER3 registers. 2nd pass alignment with Tim Yu.</t>
  </si>
  <si>
    <t>Added separate CLKSS clock divisor settings for boost and buck modes. Removed deglitch config for a_pgood_in. Increased size of CPCLKM offset trim from 4-bits to 7-bits.</t>
  </si>
  <si>
    <t>Changed CPCLK_GAIN description. Increased CPCLKM_MIN and CPCLKM_MAX from 8-bits to 12-bits. Added 2nd deglitch config for a_en_det (BB vs. CP).  Update digital test mux.  Added NO_CLK_GATE shadow register bit.  Consolidated CFG_CP into generic contiguous bits.</t>
  </si>
  <si>
    <t>Updated OTP defaults for PTIME registers.</t>
  </si>
  <si>
    <t>Update diag mux, fixed TM_STATE1.MAIN width</t>
  </si>
  <si>
    <t>Added CFG_PTIME4, CFG_LATCH0, CFG_LATCH1, TM_LATCH_FAULT registers. Changed to use a single deglitcher setting for a_en_det. Updated Digital Test Mux. Changed state variable widths.</t>
  </si>
  <si>
    <t>Added reg_clk_req to diagnostic test mux.</t>
  </si>
  <si>
    <t>Updated descriptions of deglitch configuration fields. Added new VOUT_FAULT event and status.</t>
  </si>
</sst>
</file>

<file path=xl/styles.xml><?xml version="1.0" encoding="utf-8"?>
<styleSheet xmlns="http://schemas.openxmlformats.org/spreadsheetml/2006/main" xmlns:xr9="http://schemas.microsoft.com/office/spreadsheetml/2016/revision9">
  <numFmts count="6">
    <numFmt numFmtId="176" formatCode="_ * #,##0.00_ ;_ * \-#,##0.00_ ;_ * &quot;-&quot;??_ ;_ @_ "/>
    <numFmt numFmtId="177" formatCode="_ &quot;₹&quot;* #,##0.00_ ;_ &quot;₹&quot;* \-#,##0.00_ ;_ &quot;₹&quot;* &quot;-&quot;??_ ;_ @_ "/>
    <numFmt numFmtId="178" formatCode="_ * #,##0_ ;_ * \-#,##0_ ;_ * &quot;-&quot;_ ;_ @_ "/>
    <numFmt numFmtId="179" formatCode="_ &quot;₹&quot;* #,##0_ ;_ &quot;₹&quot;* \-#,##0_ ;_ &quot;₹&quot;* &quot;-&quot;_ ;_ @_ "/>
    <numFmt numFmtId="180" formatCode="0.0"/>
    <numFmt numFmtId="181" formatCode="yyyy/mm/dd;@"/>
  </numFmts>
  <fonts count="28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name val="Calibri"/>
      <charset val="134"/>
      <scheme val="minor"/>
    </font>
    <font>
      <sz val="1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1" tint="0.499984740745262"/>
      <name val="Calibri"/>
      <charset val="134"/>
      <scheme val="minor"/>
    </font>
    <font>
      <sz val="11"/>
      <color rgb="FFFF0000"/>
      <name val="Calibri"/>
      <charset val="134"/>
      <scheme val="minor"/>
    </font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9"/>
      <name val="Tahoma"/>
      <charset val="134"/>
    </font>
  </fonts>
  <fills count="50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C8E6F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AE6C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"/>
      </left>
      <right/>
      <top style="thin">
        <color theme="4" tint="0.399975585192419"/>
      </top>
      <bottom/>
      <diagonal/>
    </border>
    <border>
      <left/>
      <right/>
      <top style="thin">
        <color theme="4" tint="0.399975585192419"/>
      </top>
      <bottom/>
      <diagonal/>
    </border>
    <border>
      <left/>
      <right style="thin">
        <color theme="4" tint="0.399975585192419"/>
      </right>
      <top style="thin">
        <color theme="4" tint="0.399975585192419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4" tint="0.399975585192419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/>
      <diagonal/>
    </border>
    <border>
      <left style="thin">
        <color rgb="FF006400"/>
      </left>
      <right style="thin">
        <color rgb="FF006400"/>
      </right>
      <top/>
      <bottom/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 style="thin">
        <color rgb="FF006400"/>
      </left>
      <right style="thin">
        <color rgb="FF006400"/>
      </right>
      <top/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/>
      <right/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/>
      <diagonal/>
    </border>
    <border>
      <left/>
      <right/>
      <top style="thin">
        <color rgb="FF0064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6400"/>
      </right>
      <top style="thin">
        <color rgb="FF006400"/>
      </top>
      <bottom/>
      <diagonal/>
    </border>
    <border>
      <left style="thin">
        <color rgb="FF006400"/>
      </left>
      <right/>
      <top/>
      <bottom style="thin">
        <color rgb="FF006400"/>
      </bottom>
      <diagonal/>
    </border>
    <border>
      <left/>
      <right style="thin">
        <color rgb="FF006400"/>
      </right>
      <top/>
      <bottom style="thin">
        <color rgb="FF0064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7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178" fontId="7" fillId="0" borderId="0" applyFont="0" applyFill="0" applyBorder="0" applyAlignment="0" applyProtection="0">
      <alignment vertical="center"/>
    </xf>
    <xf numFmtId="179" fontId="7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19" borderId="38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9" applyNumberFormat="0" applyFill="0" applyAlignment="0" applyProtection="0">
      <alignment vertical="center"/>
    </xf>
    <xf numFmtId="0" fontId="14" fillId="0" borderId="39" applyNumberFormat="0" applyFill="0" applyAlignment="0" applyProtection="0">
      <alignment vertical="center"/>
    </xf>
    <xf numFmtId="0" fontId="15" fillId="0" borderId="40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0" borderId="41" applyNumberFormat="0" applyAlignment="0" applyProtection="0">
      <alignment vertical="center"/>
    </xf>
    <xf numFmtId="0" fontId="17" fillId="21" borderId="42" applyNumberFormat="0" applyAlignment="0" applyProtection="0">
      <alignment vertical="center"/>
    </xf>
    <xf numFmtId="0" fontId="18" fillId="21" borderId="41" applyNumberFormat="0" applyAlignment="0" applyProtection="0">
      <alignment vertical="center"/>
    </xf>
    <xf numFmtId="0" fontId="19" fillId="22" borderId="43" applyNumberFormat="0" applyAlignment="0" applyProtection="0">
      <alignment vertical="center"/>
    </xf>
    <xf numFmtId="0" fontId="20" fillId="0" borderId="44" applyNumberFormat="0" applyFill="0" applyAlignment="0" applyProtection="0">
      <alignment vertical="center"/>
    </xf>
    <xf numFmtId="0" fontId="21" fillId="0" borderId="45" applyNumberFormat="0" applyFill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  <xf numFmtId="0" fontId="26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26" fillId="39" borderId="0" applyNumberFormat="0" applyBorder="0" applyAlignment="0" applyProtection="0">
      <alignment vertical="center"/>
    </xf>
    <xf numFmtId="0" fontId="26" fillId="40" borderId="0" applyNumberFormat="0" applyBorder="0" applyAlignment="0" applyProtection="0">
      <alignment vertical="center"/>
    </xf>
    <xf numFmtId="0" fontId="25" fillId="41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6" fillId="43" borderId="0" applyNumberFormat="0" applyBorder="0" applyAlignment="0" applyProtection="0">
      <alignment vertical="center"/>
    </xf>
    <xf numFmtId="0" fontId="26" fillId="44" borderId="0" applyNumberFormat="0" applyBorder="0" applyAlignment="0" applyProtection="0">
      <alignment vertical="center"/>
    </xf>
    <xf numFmtId="0" fontId="25" fillId="45" borderId="0" applyNumberFormat="0" applyBorder="0" applyAlignment="0" applyProtection="0">
      <alignment vertical="center"/>
    </xf>
    <xf numFmtId="0" fontId="25" fillId="46" borderId="0" applyNumberFormat="0" applyBorder="0" applyAlignment="0" applyProtection="0">
      <alignment vertical="center"/>
    </xf>
    <xf numFmtId="0" fontId="26" fillId="47" borderId="0" applyNumberFormat="0" applyBorder="0" applyAlignment="0" applyProtection="0">
      <alignment vertical="center"/>
    </xf>
    <xf numFmtId="0" fontId="26" fillId="48" borderId="0" applyNumberFormat="0" applyBorder="0" applyAlignment="0" applyProtection="0">
      <alignment vertical="center"/>
    </xf>
    <xf numFmtId="0" fontId="25" fillId="49" borderId="0" applyNumberFormat="0" applyBorder="0" applyAlignment="0" applyProtection="0">
      <alignment vertical="center"/>
    </xf>
    <xf numFmtId="0" fontId="0" fillId="0" borderId="0"/>
  </cellStyleXfs>
  <cellXfs count="135">
    <xf numFmtId="0" fontId="0" fillId="0" borderId="0" xfId="0"/>
    <xf numFmtId="0" fontId="1" fillId="2" borderId="1" xfId="0" applyFont="1" applyFill="1" applyBorder="1" applyAlignment="1">
      <alignment horizontal="center"/>
    </xf>
    <xf numFmtId="180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1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3" fillId="4" borderId="5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wrapText="1"/>
    </xf>
    <xf numFmtId="0" fontId="0" fillId="0" borderId="3" xfId="0" applyBorder="1" applyAlignment="1">
      <alignment wrapText="1"/>
    </xf>
    <xf numFmtId="0" fontId="0" fillId="4" borderId="0" xfId="0" applyFill="1"/>
    <xf numFmtId="0" fontId="4" fillId="0" borderId="0" xfId="0" applyFont="1"/>
    <xf numFmtId="0" fontId="3" fillId="4" borderId="0" xfId="0" applyFont="1" applyFill="1" applyAlignment="1">
      <alignment horizontal="center"/>
    </xf>
    <xf numFmtId="0" fontId="0" fillId="0" borderId="3" xfId="0" applyBorder="1" applyAlignment="1">
      <alignment horizontal="right"/>
    </xf>
    <xf numFmtId="0" fontId="0" fillId="0" borderId="0" xfId="0" applyAlignment="1">
      <alignment horizontal="center"/>
    </xf>
    <xf numFmtId="0" fontId="2" fillId="4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vertical="center" wrapText="1"/>
    </xf>
    <xf numFmtId="0" fontId="2" fillId="4" borderId="7" xfId="0" applyFont="1" applyFill="1" applyBorder="1" applyAlignment="1">
      <alignment vertical="center" wrapText="1"/>
    </xf>
    <xf numFmtId="0" fontId="2" fillId="4" borderId="5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9" xfId="0" applyFill="1" applyBorder="1"/>
    <xf numFmtId="0" fontId="0" fillId="6" borderId="10" xfId="0" applyFill="1" applyBorder="1"/>
    <xf numFmtId="0" fontId="0" fillId="5" borderId="11" xfId="0" applyFill="1" applyBorder="1"/>
    <xf numFmtId="0" fontId="0" fillId="6" borderId="12" xfId="0" applyFill="1" applyBorder="1"/>
    <xf numFmtId="0" fontId="0" fillId="5" borderId="12" xfId="0" applyFill="1" applyBorder="1"/>
    <xf numFmtId="0" fontId="4" fillId="5" borderId="12" xfId="0" applyFont="1" applyFill="1" applyBorder="1"/>
    <xf numFmtId="0" fontId="0" fillId="5" borderId="13" xfId="0" applyFill="1" applyBorder="1"/>
    <xf numFmtId="0" fontId="0" fillId="5" borderId="14" xfId="0" applyFill="1" applyBorder="1"/>
    <xf numFmtId="0" fontId="0" fillId="7" borderId="9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1" xfId="0" applyFill="1" applyBorder="1"/>
    <xf numFmtId="0" fontId="0" fillId="7" borderId="0" xfId="0" applyFill="1"/>
    <xf numFmtId="0" fontId="0" fillId="7" borderId="17" xfId="0" applyFill="1" applyBorder="1"/>
    <xf numFmtId="0" fontId="0" fillId="7" borderId="13" xfId="0" applyFill="1" applyBorder="1"/>
    <xf numFmtId="0" fontId="0" fillId="7" borderId="18" xfId="0" applyFill="1" applyBorder="1"/>
    <xf numFmtId="0" fontId="0" fillId="7" borderId="19" xfId="0" applyFill="1" applyBorder="1"/>
    <xf numFmtId="0" fontId="0" fillId="0" borderId="0" xfId="0" applyAlignment="1">
      <alignment horizontal="left" wrapText="1"/>
    </xf>
    <xf numFmtId="0" fontId="0" fillId="8" borderId="0" xfId="0" applyFill="1"/>
    <xf numFmtId="0" fontId="4" fillId="0" borderId="20" xfId="0" applyFont="1" applyBorder="1" applyAlignment="1">
      <alignment horizontal="left"/>
    </xf>
    <xf numFmtId="0" fontId="4" fillId="0" borderId="21" xfId="0" applyFont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9" borderId="23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 wrapText="1"/>
    </xf>
    <xf numFmtId="0" fontId="0" fillId="0" borderId="23" xfId="0" applyBorder="1" applyAlignment="1">
      <alignment vertical="center"/>
    </xf>
    <xf numFmtId="0" fontId="0" fillId="0" borderId="23" xfId="0" applyBorder="1" applyAlignment="1">
      <alignment horizontal="center" vertical="center"/>
    </xf>
    <xf numFmtId="0" fontId="0" fillId="10" borderId="23" xfId="0" applyFill="1" applyBorder="1" applyAlignment="1">
      <alignment horizontal="center" vertical="center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vertical="center"/>
    </xf>
    <xf numFmtId="0" fontId="0" fillId="10" borderId="26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 wrapText="1"/>
    </xf>
    <xf numFmtId="0" fontId="0" fillId="11" borderId="26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 wrapText="1"/>
    </xf>
    <xf numFmtId="0" fontId="0" fillId="0" borderId="28" xfId="0" applyBorder="1" applyAlignment="1">
      <alignment vertical="center"/>
    </xf>
    <xf numFmtId="0" fontId="0" fillId="10" borderId="28" xfId="0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29" xfId="0" applyBorder="1" applyAlignment="1">
      <alignment vertical="center"/>
    </xf>
    <xf numFmtId="0" fontId="0" fillId="11" borderId="29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10" borderId="0" xfId="0" applyFill="1"/>
    <xf numFmtId="0" fontId="0" fillId="12" borderId="0" xfId="0" applyFill="1"/>
    <xf numFmtId="0" fontId="0" fillId="11" borderId="30" xfId="0" applyFill="1" applyBorder="1" applyAlignment="1">
      <alignment horizontal="center" vertical="center"/>
    </xf>
    <xf numFmtId="0" fontId="0" fillId="11" borderId="31" xfId="0" applyFill="1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0" fillId="11" borderId="33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11" borderId="1" xfId="0" applyFill="1" applyBorder="1" applyAlignment="1">
      <alignment vertical="center"/>
    </xf>
    <xf numFmtId="0" fontId="0" fillId="11" borderId="1" xfId="0" applyFill="1" applyBorder="1" applyAlignment="1">
      <alignment horizontal="center" vertical="center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0" fillId="11" borderId="27" xfId="0" applyFill="1" applyBorder="1" applyAlignment="1">
      <alignment horizontal="center" vertical="center"/>
    </xf>
    <xf numFmtId="0" fontId="0" fillId="11" borderId="26" xfId="0" applyFill="1" applyBorder="1" applyAlignment="1">
      <alignment vertical="center"/>
    </xf>
    <xf numFmtId="0" fontId="0" fillId="11" borderId="28" xfId="0" applyFill="1" applyBorder="1" applyAlignment="1">
      <alignment vertical="center"/>
    </xf>
    <xf numFmtId="0" fontId="0" fillId="11" borderId="33" xfId="0" applyFill="1" applyBorder="1" applyAlignment="1">
      <alignment vertical="center"/>
    </xf>
    <xf numFmtId="0" fontId="0" fillId="11" borderId="30" xfId="0" applyFill="1" applyBorder="1" applyAlignment="1">
      <alignment vertical="center"/>
    </xf>
    <xf numFmtId="0" fontId="0" fillId="11" borderId="31" xfId="0" applyFill="1" applyBorder="1" applyAlignment="1">
      <alignment vertical="center"/>
    </xf>
    <xf numFmtId="0" fontId="0" fillId="0" borderId="30" xfId="0" applyBorder="1" applyAlignment="1">
      <alignment vertical="center"/>
    </xf>
    <xf numFmtId="0" fontId="0" fillId="11" borderId="32" xfId="0" applyFill="1" applyBorder="1" applyAlignment="1">
      <alignment vertical="center"/>
    </xf>
    <xf numFmtId="0" fontId="0" fillId="11" borderId="35" xfId="0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29" xfId="0" applyFill="1" applyBorder="1" applyAlignment="1">
      <alignment vertical="center"/>
    </xf>
    <xf numFmtId="0" fontId="0" fillId="13" borderId="1" xfId="0" applyFill="1" applyBorder="1"/>
    <xf numFmtId="0" fontId="0" fillId="9" borderId="23" xfId="0" applyFill="1" applyBorder="1" applyAlignment="1">
      <alignment horizontal="center"/>
    </xf>
    <xf numFmtId="0" fontId="0" fillId="14" borderId="23" xfId="0" applyFill="1" applyBorder="1" applyAlignment="1">
      <alignment horizontal="center"/>
    </xf>
    <xf numFmtId="0" fontId="0" fillId="11" borderId="23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0" fillId="16" borderId="23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0" borderId="0" xfId="49"/>
    <xf numFmtId="0" fontId="0" fillId="0" borderId="0" xfId="49" applyAlignment="1">
      <alignment horizontal="center" vertical="center"/>
    </xf>
    <xf numFmtId="0" fontId="0" fillId="0" borderId="1" xfId="49" applyBorder="1" applyAlignment="1">
      <alignment horizontal="center" vertical="center"/>
    </xf>
    <xf numFmtId="0" fontId="0" fillId="0" borderId="32" xfId="49" applyBorder="1" applyAlignment="1">
      <alignment horizontal="center" vertical="center"/>
    </xf>
    <xf numFmtId="0" fontId="0" fillId="18" borderId="6" xfId="49" applyFill="1" applyBorder="1" applyAlignment="1">
      <alignment horizontal="center" vertical="center"/>
    </xf>
    <xf numFmtId="0" fontId="0" fillId="0" borderId="6" xfId="49" applyBorder="1" applyAlignment="1">
      <alignment horizontal="left" vertical="center" wrapText="1"/>
    </xf>
    <xf numFmtId="0" fontId="0" fillId="0" borderId="0" xfId="49" applyAlignment="1">
      <alignment vertical="center" wrapText="1"/>
    </xf>
    <xf numFmtId="0" fontId="0" fillId="0" borderId="36" xfId="49" applyBorder="1" applyAlignment="1">
      <alignment horizontal="center" vertical="center"/>
    </xf>
    <xf numFmtId="0" fontId="0" fillId="18" borderId="37" xfId="49" applyFill="1" applyBorder="1" applyAlignment="1">
      <alignment horizontal="center" vertical="center"/>
    </xf>
    <xf numFmtId="0" fontId="0" fillId="0" borderId="37" xfId="49" applyBorder="1" applyAlignment="1">
      <alignment horizontal="left" vertical="center" wrapText="1"/>
    </xf>
    <xf numFmtId="0" fontId="0" fillId="0" borderId="1" xfId="49" applyBorder="1"/>
    <xf numFmtId="0" fontId="0" fillId="18" borderId="1" xfId="49" applyFill="1" applyBorder="1" applyAlignment="1">
      <alignment horizontal="center" vertical="center"/>
    </xf>
    <xf numFmtId="0" fontId="0" fillId="0" borderId="32" xfId="49" applyBorder="1" applyAlignment="1">
      <alignment horizontal="center"/>
    </xf>
    <xf numFmtId="0" fontId="0" fillId="0" borderId="32" xfId="49" applyBorder="1" applyAlignment="1">
      <alignment horizontal="left" vertical="center" wrapText="1"/>
    </xf>
    <xf numFmtId="0" fontId="0" fillId="0" borderId="5" xfId="49" applyBorder="1" applyAlignment="1">
      <alignment horizontal="center"/>
    </xf>
    <xf numFmtId="0" fontId="0" fillId="0" borderId="5" xfId="49" applyBorder="1" applyAlignment="1">
      <alignment horizontal="left" vertical="center"/>
    </xf>
    <xf numFmtId="0" fontId="0" fillId="0" borderId="36" xfId="49" applyBorder="1" applyAlignment="1">
      <alignment horizontal="center"/>
    </xf>
    <xf numFmtId="0" fontId="0" fillId="0" borderId="36" xfId="49" applyBorder="1" applyAlignment="1">
      <alignment horizontal="left" vertical="center"/>
    </xf>
    <xf numFmtId="0" fontId="0" fillId="5" borderId="1" xfId="49" applyFill="1" applyBorder="1" applyAlignment="1">
      <alignment horizontal="center" vertical="center"/>
    </xf>
    <xf numFmtId="0" fontId="6" fillId="18" borderId="1" xfId="49" applyFont="1" applyFill="1" applyBorder="1" applyAlignment="1">
      <alignment horizontal="center" vertical="center"/>
    </xf>
    <xf numFmtId="0" fontId="0" fillId="0" borderId="36" xfId="49" applyBorder="1" applyAlignment="1">
      <alignment horizontal="left" vertical="center" wrapText="1"/>
    </xf>
    <xf numFmtId="0" fontId="0" fillId="0" borderId="5" xfId="49" applyBorder="1" applyAlignment="1">
      <alignment horizontal="center" vertical="center"/>
    </xf>
    <xf numFmtId="0" fontId="6" fillId="5" borderId="1" xfId="49" applyFont="1" applyFill="1" applyBorder="1" applyAlignment="1">
      <alignment horizontal="center" vertical="center"/>
    </xf>
    <xf numFmtId="0" fontId="0" fillId="0" borderId="32" xfId="49" applyBorder="1" applyAlignment="1">
      <alignment horizontal="left" vertical="center"/>
    </xf>
    <xf numFmtId="0" fontId="0" fillId="0" borderId="0" xfId="49" applyAlignment="1">
      <alignment horizontal="left"/>
    </xf>
    <xf numFmtId="0" fontId="0" fillId="0" borderId="1" xfId="49" applyBorder="1" applyAlignment="1">
      <alignment wrapText="1"/>
    </xf>
    <xf numFmtId="0" fontId="0" fillId="0" borderId="1" xfId="49" applyBorder="1" applyAlignment="1" quotePrefix="1">
      <alignment horizontal="center" vertical="center"/>
    </xf>
    <xf numFmtId="0" fontId="0" fillId="0" borderId="0" xfId="49" applyAlignment="1" quotePrefix="1">
      <alignment horizontal="center" vertical="center"/>
    </xf>
  </cellXfs>
  <cellStyles count="50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</cellStyles>
  <dxfs count="31">
    <dxf>
      <alignment horizontal="center"/>
    </dxf>
    <dxf>
      <alignment horizontal="center"/>
    </dxf>
    <dxf>
      <alignment horizontal="center"/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 style="thin">
          <color theme="4" tint="0.399975585192419"/>
        </left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 tint="0.499984740745262"/>
      </font>
      <fill>
        <patternFill patternType="none"/>
      </fill>
      <alignment horizontal="right"/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/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/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 style="thin">
          <color theme="4" tint="0.399975585192419"/>
        </right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/>
      <border>
        <left/>
        <right style="thin">
          <color theme="4" tint="0.399975585192419"/>
        </right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center"/>
      <border>
        <left/>
        <right style="thin">
          <color theme="4" tint="0.399975585192419"/>
        </right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 style="thin">
          <color theme="4" tint="0.399975585192419"/>
        </left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alignment horizontal="right"/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 style="thin">
          <color theme="4" tint="0.399975585192419"/>
        </right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 style="thin">
          <color theme="4" tint="0.399975585192419"/>
        </left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font>
        <name val="Calibri"/>
        <scheme val="none"/>
        <family val="2"/>
        <b val="0"/>
        <i val="0"/>
        <strike val="0"/>
        <u val="none"/>
        <sz val="11"/>
        <color theme="1"/>
      </font>
      <fill>
        <patternFill patternType="none"/>
      </fill>
      <border>
        <left/>
        <right/>
        <top style="thin">
          <color theme="4" tint="0.399975585192419"/>
        </top>
        <bottom/>
      </border>
    </dxf>
    <dxf>
      <alignment horizontal="left"/>
    </dxf>
    <dxf>
      <alignment horizontal="left"/>
    </dxf>
    <dxf>
      <alignment horizontal="left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schemas.microsoft.com/office/2006/relationships/vbaProject" Target="vbaProject.bin"/><Relationship Id="rId18" Type="http://schemas.openxmlformats.org/officeDocument/2006/relationships/sharedStrings" Target="sharedStrings.xml"/><Relationship Id="rId17" Type="http://schemas.openxmlformats.org/officeDocument/2006/relationships/styles" Target="styles.xml"/><Relationship Id="rId16" Type="http://schemas.openxmlformats.org/officeDocument/2006/relationships/theme" Target="theme/theme1.xml"/><Relationship Id="rId15" Type="http://schemas.openxmlformats.org/officeDocument/2006/relationships/externalLink" Target="externalLinks/externalLink2.xml"/><Relationship Id="rId14" Type="http://schemas.openxmlformats.org/officeDocument/2006/relationships/externalLink" Target="externalLinks/externalLink1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4</xdr:row>
          <xdr:rowOff>0</xdr:rowOff>
        </xdr:from>
        <xdr:to>
          <xdr:col>7</xdr:col>
          <xdr:colOff>352425</xdr:colOff>
          <xdr:row>6</xdr:row>
          <xdr:rowOff>19050</xdr:rowOff>
        </xdr:to>
        <xdr:sp macro="[0]!make_summary">
          <xdr:nvSpPr>
            <xdr:cNvPr id="182273" name="Button 1" hidden="1">
              <a:extLst>
                <a:ext uri="{63B3BB69-23CF-44E3-9099-C40C66FF867C}">
                  <a14:compatExt spid="_x0000_s182273"/>
                </a:ext>
              </a:extLst>
            </xdr:cNvPr>
            <xdr:cNvSpPr/>
          </xdr:nvSpPr>
          <xdr:spPr>
            <a:xfrm>
              <a:off x="706120" y="741045"/>
              <a:ext cx="3133725" cy="38481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Press to regenerate worksheets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4</xdr:row>
          <xdr:rowOff>0</xdr:rowOff>
        </xdr:from>
        <xdr:to>
          <xdr:col>17</xdr:col>
          <xdr:colOff>352425</xdr:colOff>
          <xdr:row>6</xdr:row>
          <xdr:rowOff>19050</xdr:rowOff>
        </xdr:to>
        <xdr:sp macro="[0]!make_register_csv">
          <xdr:nvSpPr>
            <xdr:cNvPr id="182277" name="Button 5" hidden="1">
              <a:extLst>
                <a:ext uri="{63B3BB69-23CF-44E3-9099-C40C66FF867C}">
                  <a14:compatExt spid="_x0000_s182277"/>
                </a:ext>
              </a:extLst>
            </xdr:cNvPr>
            <xdr:cNvSpPr/>
          </xdr:nvSpPr>
          <xdr:spPr>
            <a:xfrm>
              <a:off x="6878320" y="741045"/>
              <a:ext cx="3133725" cy="38481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Press to generate register map CSV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16</xdr:row>
          <xdr:rowOff>0</xdr:rowOff>
        </xdr:from>
        <xdr:to>
          <xdr:col>17</xdr:col>
          <xdr:colOff>352425</xdr:colOff>
          <xdr:row>18</xdr:row>
          <xdr:rowOff>19050</xdr:rowOff>
        </xdr:to>
        <xdr:sp macro="[0]!make_testmux_csv">
          <xdr:nvSpPr>
            <xdr:cNvPr id="182280" name="Button 8" hidden="1">
              <a:extLst>
                <a:ext uri="{63B3BB69-23CF-44E3-9099-C40C66FF867C}">
                  <a14:compatExt spid="_x0000_s182280"/>
                </a:ext>
              </a:extLst>
            </xdr:cNvPr>
            <xdr:cNvSpPr/>
          </xdr:nvSpPr>
          <xdr:spPr>
            <a:xfrm>
              <a:off x="6878320" y="2973705"/>
              <a:ext cx="3133725" cy="38481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Press to generate test mux CSV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ader_regmap_control_signa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vader_register_map_for%20DE%2020230324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RegMap_data"/>
      <sheetName val="Summary (2)"/>
      <sheetName val="OTP Map"/>
      <sheetName val="Summary"/>
      <sheetName val="Instructions"/>
      <sheetName val="OTP"/>
      <sheetName val="Address Map"/>
      <sheetName val="Registers"/>
      <sheetName val="Volatile"/>
      <sheetName val="Digital Test Mux"/>
      <sheetName val="Constants"/>
      <sheetName val="Vers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config"/>
      <sheetName val="Table For DE"/>
      <sheetName val="OTP Map"/>
      <sheetName val="Summary"/>
      <sheetName val="Instructions"/>
      <sheetName val="OTP"/>
      <sheetName val="Address Map"/>
      <sheetName val="Registers"/>
      <sheetName val="Volatile"/>
      <sheetName val="Shadow"/>
      <sheetName val="Digital Test Mux"/>
      <sheetName val="Constants"/>
      <sheetName val="Version"/>
    </sheetNames>
    <sheetDataSet>
      <sheetData sheetId="0"/>
      <sheetData sheetId="1"/>
      <sheetData sheetId="2"/>
      <sheetData sheetId="3"/>
      <sheetData sheetId="4"/>
      <sheetData sheetId="5">
        <row r="9">
          <cell r="C9">
            <v>285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2" name="Table2" displayName="Table2" ref="B2:E3" totalsRowShown="0">
  <autoFilter ref="B2:E3"/>
  <tableColumns count="4">
    <tableColumn id="1" name="Base" dataDxfId="0"/>
    <tableColumn id="2" name="Range" dataDxfId="1"/>
    <tableColumn id="3" name="RTL Block" dataDxfId="2"/>
    <tableColumn id="4" name="Instance P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RegisterTable" displayName="RegisterTable" ref="B2:I107" totalsRowShown="0">
  <autoFilter ref="B2:I107"/>
  <tableColumns count="8">
    <tableColumn id="1" name="Name" dataDxfId="3"/>
    <tableColumn id="2" name="Addr-DEC" dataDxfId="4"/>
    <tableColumn id="3" name="Addr-HEX" dataDxfId="5"/>
    <tableColumn id="4" name="Type" dataDxfId="6"/>
    <tableColumn id="7" name="Category" dataDxfId="7"/>
    <tableColumn id="5" name="Short Description" dataDxfId="8"/>
    <tableColumn id="6" name="RTL Block" dataDxfId="9"/>
    <tableColumn id="8" name="Write Logic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VolatileTable" displayName="VolatileTable" ref="B2:I138" totalsRowShown="0">
  <autoFilter ref="B2:I138"/>
  <tableColumns count="8">
    <tableColumn id="1" name="FieldName" dataDxfId="11"/>
    <tableColumn id="2" name="Width" dataDxfId="12"/>
    <tableColumn id="3" name="Register" dataDxfId="13"/>
    <tableColumn id="4" name="RegBit" dataDxfId="14"/>
    <tableColumn id="5" name="SignalName" dataDxfId="15"/>
    <tableColumn id="7" name="Reset" dataDxfId="16"/>
    <tableColumn id="9" name="External" dataDxfId="17"/>
    <tableColumn id="6" name="Description" dataDxfId="1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ShadowTable" displayName="ShadowTable" ref="B2:J82" totalsRowShown="0">
  <autoFilter ref="B2:J82"/>
  <tableColumns count="9">
    <tableColumn id="1" name="FieldName" dataDxfId="19"/>
    <tableColumn id="2" name="Width" dataDxfId="20"/>
    <tableColumn id="3" name="Register" dataDxfId="21"/>
    <tableColumn id="4" name="RegBit" dataDxfId="22"/>
    <tableColumn id="5" name="SignalName" dataDxfId="23"/>
    <tableColumn id="11" name="Reset" dataDxfId="24"/>
    <tableColumn id="13" name="Default" dataDxfId="25"/>
    <tableColumn id="12" name="External" dataDxfId="26"/>
    <tableColumn id="10" name="Description" dataDxfId="2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estMuxTable" displayName="TestMuxTable" ref="B2:D77" totalsRowShown="0">
  <autoFilter ref="B2:D77"/>
  <tableColumns count="3">
    <tableColumn id="1" name="Selector Name" dataDxfId="28"/>
    <tableColumn id="2" name="Signal" dataDxfId="29"/>
    <tableColumn id="3" name="Comment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89"/>
  <sheetViews>
    <sheetView zoomScale="80" zoomScaleNormal="80" workbookViewId="0">
      <selection activeCell="E49" sqref="E49"/>
    </sheetView>
  </sheetViews>
  <sheetFormatPr defaultColWidth="9" defaultRowHeight="14.4"/>
  <cols>
    <col min="1" max="1" width="16.287037037037" style="109" customWidth="1"/>
    <col min="2" max="2" width="16.712962962963" style="109" customWidth="1"/>
    <col min="3" max="3" width="12.1388888888889" style="109" customWidth="1"/>
    <col min="4" max="4" width="26.5740740740741" style="109" customWidth="1"/>
    <col min="5" max="5" width="23.4259259259259" style="110" customWidth="1"/>
    <col min="6" max="6" width="76.712962962963" style="109" customWidth="1"/>
    <col min="7" max="7" width="9.13888888888889" style="109"/>
    <col min="8" max="8" width="14.8518518518519" style="109" customWidth="1"/>
    <col min="9" max="9" width="6" style="109" customWidth="1"/>
    <col min="10" max="16384" width="9.13888888888889" style="109"/>
  </cols>
  <sheetData>
    <row r="1" spans="1:5">
      <c r="A1" s="109" t="s">
        <v>0</v>
      </c>
      <c r="E1" s="110" t="s">
        <v>1</v>
      </c>
    </row>
    <row r="2" ht="25.5" customHeight="1" spans="1:10">
      <c r="A2" s="111">
        <v>55</v>
      </c>
      <c r="B2" s="111" t="str">
        <f>"CFG_SSRamp&lt;"&amp;15&amp;"&gt;"</f>
        <v>CFG_SSRamp&lt;15&gt;</v>
      </c>
      <c r="C2" s="111"/>
      <c r="D2" s="112" t="s">
        <v>2</v>
      </c>
      <c r="E2" s="113">
        <v>1</v>
      </c>
      <c r="F2" s="114" t="s">
        <v>3</v>
      </c>
      <c r="G2" s="115"/>
      <c r="H2" s="109" t="s">
        <v>4</v>
      </c>
      <c r="I2" s="109" t="str">
        <f>"0X"&amp;BIN2HEX(_xlfn.CONCAT(E2:E9),2)</f>
        <v>0X86</v>
      </c>
      <c r="J2" s="115"/>
    </row>
    <row r="3" ht="39" customHeight="1" spans="1:10">
      <c r="A3" s="111">
        <v>54</v>
      </c>
      <c r="B3" s="111" t="str">
        <f>"CFG_SSRamp&lt;"&amp;14&amp;"&gt;"</f>
        <v>CFG_SSRamp&lt;14&gt;</v>
      </c>
      <c r="C3" s="111"/>
      <c r="D3" s="116"/>
      <c r="E3" s="117">
        <v>0</v>
      </c>
      <c r="F3" s="118"/>
      <c r="G3" s="115"/>
      <c r="H3" s="115"/>
      <c r="I3" s="115"/>
      <c r="J3" s="115"/>
    </row>
    <row r="4" spans="1:9">
      <c r="A4" s="111">
        <v>53</v>
      </c>
      <c r="B4" s="111" t="str">
        <f>"CFG_SSRamp&lt;"&amp;13&amp;"&gt;"</f>
        <v>CFG_SSRamp&lt;13&gt;</v>
      </c>
      <c r="C4" s="111"/>
      <c r="D4" s="119" t="s">
        <v>5</v>
      </c>
      <c r="E4" s="120">
        <v>0</v>
      </c>
      <c r="F4" s="119" t="s">
        <v>6</v>
      </c>
      <c r="H4" s="115"/>
      <c r="I4" s="115"/>
    </row>
    <row r="5" spans="1:9">
      <c r="A5" s="111">
        <v>52</v>
      </c>
      <c r="B5" s="111" t="str">
        <f>"CFG_SSRamp&lt;"&amp;12&amp;"&gt;"</f>
        <v>CFG_SSRamp&lt;12&gt;</v>
      </c>
      <c r="C5" s="111"/>
      <c r="D5" s="119" t="s">
        <v>5</v>
      </c>
      <c r="E5" s="120">
        <v>0</v>
      </c>
      <c r="F5" s="119" t="s">
        <v>6</v>
      </c>
      <c r="H5" s="115"/>
      <c r="I5" s="115"/>
    </row>
    <row r="6" spans="1:9">
      <c r="A6" s="111">
        <v>51</v>
      </c>
      <c r="B6" s="111" t="str">
        <f>"CFG_SSRamp&lt;"&amp;11&amp;"&gt;"</f>
        <v>CFG_SSRamp&lt;11&gt;</v>
      </c>
      <c r="C6" s="111"/>
      <c r="D6" s="121" t="s">
        <v>7</v>
      </c>
      <c r="E6" s="120">
        <v>0</v>
      </c>
      <c r="F6" s="122" t="s">
        <v>8</v>
      </c>
      <c r="H6" s="115"/>
      <c r="I6" s="115"/>
    </row>
    <row r="7" spans="1:9">
      <c r="A7" s="111">
        <v>50</v>
      </c>
      <c r="B7" s="111" t="str">
        <f>"CFG_SSRamp&lt;"&amp;10&amp;"&gt;"</f>
        <v>CFG_SSRamp&lt;10&gt;</v>
      </c>
      <c r="C7" s="111"/>
      <c r="D7" s="123"/>
      <c r="E7" s="120">
        <v>1</v>
      </c>
      <c r="F7" s="124"/>
      <c r="H7" s="115"/>
      <c r="I7" s="115"/>
    </row>
    <row r="8" spans="1:9">
      <c r="A8" s="111">
        <v>49</v>
      </c>
      <c r="B8" s="111" t="str">
        <f>"CFG_SSRamp&lt;"&amp;9&amp;"&gt;"</f>
        <v>CFG_SSRamp&lt;9&gt;</v>
      </c>
      <c r="C8" s="111"/>
      <c r="D8" s="125"/>
      <c r="E8" s="120">
        <v>1</v>
      </c>
      <c r="F8" s="126"/>
      <c r="H8" s="115"/>
      <c r="I8" s="115"/>
    </row>
    <row r="9" spans="1:9">
      <c r="A9" s="111">
        <v>48</v>
      </c>
      <c r="B9" s="111" t="str">
        <f>"CFG_SSRamp&lt;"&amp;8&amp;"&gt;"</f>
        <v>CFG_SSRamp&lt;8&gt;</v>
      </c>
      <c r="C9" s="111"/>
      <c r="D9" s="121" t="s">
        <v>9</v>
      </c>
      <c r="E9" s="120">
        <v>0</v>
      </c>
      <c r="F9" s="122" t="s">
        <v>10</v>
      </c>
      <c r="H9" s="115"/>
      <c r="I9" s="115"/>
    </row>
    <row r="10" spans="1:9">
      <c r="A10" s="111">
        <v>47</v>
      </c>
      <c r="B10" s="111" t="str">
        <f>"CFG_SSRamp&lt;"&amp;7&amp;"&gt;"</f>
        <v>CFG_SSRamp&lt;7&gt;</v>
      </c>
      <c r="C10" s="111"/>
      <c r="D10" s="123"/>
      <c r="E10" s="127">
        <v>1</v>
      </c>
      <c r="F10" s="124"/>
      <c r="H10" s="109" t="s">
        <v>11</v>
      </c>
      <c r="I10" s="109" t="str">
        <f>"0X"&amp;BIN2HEX(_xlfn.CONCAT(E10:E17),2)</f>
        <v>0XDB</v>
      </c>
    </row>
    <row r="11" spans="1:10">
      <c r="A11" s="111">
        <v>46</v>
      </c>
      <c r="B11" s="111" t="str">
        <f>"CFG_SSRamp&lt;"&amp;6&amp;"&gt;"</f>
        <v>CFG_SSRamp&lt;6&gt;</v>
      </c>
      <c r="C11" s="111"/>
      <c r="D11" s="125"/>
      <c r="E11" s="127">
        <v>1</v>
      </c>
      <c r="F11" s="126"/>
      <c r="H11" s="115"/>
      <c r="I11" s="115"/>
      <c r="J11" s="133"/>
    </row>
    <row r="12" spans="1:6">
      <c r="A12" s="111">
        <v>45</v>
      </c>
      <c r="B12" s="111" t="str">
        <f>"CFG_SSRamp&lt;"&amp;5&amp;"&gt;"</f>
        <v>CFG_SSRamp&lt;5&gt;</v>
      </c>
      <c r="C12" s="111"/>
      <c r="D12" s="121" t="s">
        <v>12</v>
      </c>
      <c r="E12" s="127">
        <v>0</v>
      </c>
      <c r="F12" s="122" t="s">
        <v>13</v>
      </c>
    </row>
    <row r="13" spans="1:6">
      <c r="A13" s="111">
        <v>44</v>
      </c>
      <c r="B13" s="111" t="str">
        <f>"CFG_SSRamp&lt;"&amp;4&amp;"&gt;"</f>
        <v>CFG_SSRamp&lt;4&gt;</v>
      </c>
      <c r="C13" s="111"/>
      <c r="D13" s="123"/>
      <c r="E13" s="127">
        <v>1</v>
      </c>
      <c r="F13" s="124"/>
    </row>
    <row r="14" spans="1:6">
      <c r="A14" s="111">
        <v>43</v>
      </c>
      <c r="B14" s="111" t="str">
        <f>"CFG_SSRamp&lt;"&amp;3&amp;"&gt;"</f>
        <v>CFG_SSRamp&lt;3&gt;</v>
      </c>
      <c r="C14" s="111"/>
      <c r="D14" s="125"/>
      <c r="E14" s="127">
        <v>1</v>
      </c>
      <c r="F14" s="126"/>
    </row>
    <row r="15" spans="1:6">
      <c r="A15" s="111">
        <v>42</v>
      </c>
      <c r="B15" s="111" t="str">
        <f>"CFG_SSRamp&lt;"&amp;2&amp;"&gt;"</f>
        <v>CFG_SSRamp&lt;2&gt;</v>
      </c>
      <c r="C15" s="111"/>
      <c r="D15" s="121" t="s">
        <v>14</v>
      </c>
      <c r="E15" s="127">
        <v>0</v>
      </c>
      <c r="F15" s="122" t="s">
        <v>15</v>
      </c>
    </row>
    <row r="16" spans="1:6">
      <c r="A16" s="111">
        <v>41</v>
      </c>
      <c r="B16" s="111" t="str">
        <f>"CFG_SSRamp&lt;"&amp;0&amp;"&gt;"</f>
        <v>CFG_SSRamp&lt;0&gt;</v>
      </c>
      <c r="C16" s="111"/>
      <c r="D16" s="123"/>
      <c r="E16" s="127">
        <v>1</v>
      </c>
      <c r="F16" s="124"/>
    </row>
    <row r="17" spans="1:6">
      <c r="A17" s="111">
        <v>40</v>
      </c>
      <c r="B17" s="111" t="str">
        <f t="shared" ref="B17" si="0">"CFG_SSRamp&lt;"&amp;15&amp;"&gt;"</f>
        <v>CFG_SSRamp&lt;15&gt;</v>
      </c>
      <c r="C17" s="111"/>
      <c r="D17" s="125"/>
      <c r="E17" s="127">
        <v>1</v>
      </c>
      <c r="F17" s="126"/>
    </row>
    <row r="18" spans="1:9">
      <c r="A18" s="111">
        <v>39</v>
      </c>
      <c r="B18" s="111" t="str">
        <f>"CFG&lt;"&amp;A18&amp;"&gt;"</f>
        <v>CFG&lt;39&gt;</v>
      </c>
      <c r="C18" s="111"/>
      <c r="D18" s="119" t="s">
        <v>16</v>
      </c>
      <c r="E18" s="120">
        <v>1</v>
      </c>
      <c r="F18" s="119" t="s">
        <v>17</v>
      </c>
      <c r="H18" s="109" t="s">
        <v>18</v>
      </c>
      <c r="I18" s="109" t="str">
        <f>"0X"&amp;BIN2HEX(_xlfn.CONCAT(E18:E25),2)</f>
        <v>0XC2</v>
      </c>
    </row>
    <row r="19" spans="1:6">
      <c r="A19" s="111">
        <v>38</v>
      </c>
      <c r="B19" s="111" t="str">
        <f t="shared" ref="B19:B57" si="1">"CFG&lt;"&amp;A19&amp;"&gt;"</f>
        <v>CFG&lt;38&gt;</v>
      </c>
      <c r="C19" s="111"/>
      <c r="D19" s="119" t="s">
        <v>19</v>
      </c>
      <c r="E19" s="120">
        <v>1</v>
      </c>
      <c r="F19" s="119" t="s">
        <v>20</v>
      </c>
    </row>
    <row r="20" ht="15" customHeight="1" spans="1:6">
      <c r="A20" s="111">
        <v>37</v>
      </c>
      <c r="B20" s="111" t="str">
        <f t="shared" si="1"/>
        <v>CFG&lt;37&gt;</v>
      </c>
      <c r="C20" s="111"/>
      <c r="D20" s="119" t="s">
        <v>21</v>
      </c>
      <c r="E20" s="128">
        <v>0</v>
      </c>
      <c r="F20" s="119" t="s">
        <v>22</v>
      </c>
    </row>
    <row r="21" spans="1:6">
      <c r="A21" s="111">
        <v>36</v>
      </c>
      <c r="B21" s="111" t="str">
        <f t="shared" si="1"/>
        <v>CFG&lt;36&gt;</v>
      </c>
      <c r="C21" s="111"/>
      <c r="D21" s="121" t="s">
        <v>23</v>
      </c>
      <c r="E21" s="120">
        <v>0</v>
      </c>
      <c r="F21" s="122" t="s">
        <v>24</v>
      </c>
    </row>
    <row r="22" spans="1:6">
      <c r="A22" s="111">
        <v>35</v>
      </c>
      <c r="B22" s="111" t="str">
        <f t="shared" si="1"/>
        <v>CFG&lt;35&gt;</v>
      </c>
      <c r="C22" s="111"/>
      <c r="D22" s="125"/>
      <c r="E22" s="120">
        <v>0</v>
      </c>
      <c r="F22" s="129"/>
    </row>
    <row r="23" spans="1:6">
      <c r="A23" s="111">
        <v>34</v>
      </c>
      <c r="B23" s="111" t="str">
        <f t="shared" si="1"/>
        <v>CFG&lt;34&gt;</v>
      </c>
      <c r="C23" s="111"/>
      <c r="D23" s="119" t="s">
        <v>25</v>
      </c>
      <c r="E23" s="120">
        <v>0</v>
      </c>
      <c r="F23" s="119" t="s">
        <v>26</v>
      </c>
    </row>
    <row r="24" spans="1:6">
      <c r="A24" s="111">
        <v>33</v>
      </c>
      <c r="B24" s="111" t="str">
        <f t="shared" si="1"/>
        <v>CFG&lt;33&gt;</v>
      </c>
      <c r="C24" s="111"/>
      <c r="D24" s="112" t="s">
        <v>27</v>
      </c>
      <c r="E24" s="128">
        <v>1</v>
      </c>
      <c r="F24" s="119" t="s">
        <v>28</v>
      </c>
    </row>
    <row r="25" spans="1:6">
      <c r="A25" s="111">
        <v>32</v>
      </c>
      <c r="B25" s="111" t="str">
        <f t="shared" si="1"/>
        <v>CFG&lt;32&gt;</v>
      </c>
      <c r="C25" s="111"/>
      <c r="D25" s="130"/>
      <c r="E25" s="128">
        <v>0</v>
      </c>
      <c r="F25" s="121" t="s">
        <v>29</v>
      </c>
    </row>
    <row r="26" spans="1:9">
      <c r="A26" s="111">
        <v>31</v>
      </c>
      <c r="B26" s="111" t="str">
        <f t="shared" si="1"/>
        <v>CFG&lt;31&gt;</v>
      </c>
      <c r="C26" s="111"/>
      <c r="D26" s="130"/>
      <c r="E26" s="127">
        <v>1</v>
      </c>
      <c r="F26" s="123"/>
      <c r="H26" s="109" t="s">
        <v>30</v>
      </c>
      <c r="I26" s="109" t="str">
        <f>"0X"&amp;BIN2HEX(_xlfn.CONCAT(E26:E33),2)</f>
        <v>0X95</v>
      </c>
    </row>
    <row r="27" spans="1:6">
      <c r="A27" s="111">
        <v>30</v>
      </c>
      <c r="B27" s="111" t="str">
        <f t="shared" si="1"/>
        <v>CFG&lt;30&gt;</v>
      </c>
      <c r="C27" s="111"/>
      <c r="D27" s="130"/>
      <c r="E27" s="127">
        <v>0</v>
      </c>
      <c r="F27" s="125"/>
    </row>
    <row r="28" spans="1:6">
      <c r="A28" s="111">
        <v>29</v>
      </c>
      <c r="B28" s="111" t="str">
        <f t="shared" si="1"/>
        <v>CFG&lt;29&gt;</v>
      </c>
      <c r="C28" s="111"/>
      <c r="D28" s="130"/>
      <c r="E28" s="127">
        <v>0</v>
      </c>
      <c r="F28" s="121" t="s">
        <v>31</v>
      </c>
    </row>
    <row r="29" spans="1:6">
      <c r="A29" s="111">
        <v>28</v>
      </c>
      <c r="B29" s="111" t="str">
        <f t="shared" si="1"/>
        <v>CFG&lt;28&gt;</v>
      </c>
      <c r="C29" s="111"/>
      <c r="D29" s="130"/>
      <c r="E29" s="127">
        <v>1</v>
      </c>
      <c r="F29" s="123"/>
    </row>
    <row r="30" spans="1:6">
      <c r="A30" s="111">
        <v>27</v>
      </c>
      <c r="B30" s="111" t="str">
        <f t="shared" si="1"/>
        <v>CFG&lt;27&gt;</v>
      </c>
      <c r="C30" s="111"/>
      <c r="D30" s="116"/>
      <c r="E30" s="127">
        <v>0</v>
      </c>
      <c r="F30" s="125"/>
    </row>
    <row r="31" spans="1:6">
      <c r="A31" s="111">
        <v>26</v>
      </c>
      <c r="B31" s="111" t="str">
        <f t="shared" si="1"/>
        <v>CFG&lt;26&gt;</v>
      </c>
      <c r="C31" s="111"/>
      <c r="D31" s="112" t="s">
        <v>32</v>
      </c>
      <c r="E31" s="131">
        <v>1</v>
      </c>
      <c r="F31" s="119" t="s">
        <v>28</v>
      </c>
    </row>
    <row r="32" spans="1:6">
      <c r="A32" s="111">
        <v>25</v>
      </c>
      <c r="B32" s="111" t="str">
        <f t="shared" si="1"/>
        <v>CFG&lt;25&gt;</v>
      </c>
      <c r="C32" s="111"/>
      <c r="D32" s="130"/>
      <c r="E32" s="127">
        <v>0</v>
      </c>
      <c r="F32" s="121" t="s">
        <v>29</v>
      </c>
    </row>
    <row r="33" spans="1:6">
      <c r="A33" s="111">
        <v>24</v>
      </c>
      <c r="B33" s="111" t="str">
        <f t="shared" si="1"/>
        <v>CFG&lt;24&gt;</v>
      </c>
      <c r="C33" s="111"/>
      <c r="D33" s="130"/>
      <c r="E33" s="127">
        <v>1</v>
      </c>
      <c r="F33" s="123"/>
    </row>
    <row r="34" spans="1:9">
      <c r="A34" s="111">
        <v>23</v>
      </c>
      <c r="B34" s="111" t="str">
        <f t="shared" si="1"/>
        <v>CFG&lt;23&gt;</v>
      </c>
      <c r="C34" s="111"/>
      <c r="D34" s="130"/>
      <c r="E34" s="120">
        <v>0</v>
      </c>
      <c r="F34" s="125"/>
      <c r="H34" s="109" t="s">
        <v>33</v>
      </c>
      <c r="I34" s="109" t="str">
        <f>"0X"&amp;BIN2HEX(_xlfn.CONCAT(E34:E41),2)</f>
        <v>0X2A</v>
      </c>
    </row>
    <row r="35" spans="1:6">
      <c r="A35" s="111">
        <v>22</v>
      </c>
      <c r="B35" s="111" t="str">
        <f t="shared" si="1"/>
        <v>CFG&lt;22&gt;</v>
      </c>
      <c r="C35" s="111"/>
      <c r="D35" s="130"/>
      <c r="E35" s="120">
        <v>0</v>
      </c>
      <c r="F35" s="121" t="s">
        <v>31</v>
      </c>
    </row>
    <row r="36" spans="1:6">
      <c r="A36" s="111">
        <v>21</v>
      </c>
      <c r="B36" s="111" t="str">
        <f t="shared" si="1"/>
        <v>CFG&lt;21&gt;</v>
      </c>
      <c r="C36" s="111"/>
      <c r="D36" s="130"/>
      <c r="E36" s="120">
        <v>1</v>
      </c>
      <c r="F36" s="123"/>
    </row>
    <row r="37" spans="1:6">
      <c r="A37" s="111">
        <v>20</v>
      </c>
      <c r="B37" s="111" t="str">
        <f t="shared" si="1"/>
        <v>CFG&lt;20&gt;</v>
      </c>
      <c r="C37" s="111"/>
      <c r="D37" s="116"/>
      <c r="E37" s="120">
        <v>0</v>
      </c>
      <c r="F37" s="125"/>
    </row>
    <row r="38" spans="1:12">
      <c r="A38" s="111">
        <v>19</v>
      </c>
      <c r="B38" s="111" t="str">
        <f t="shared" si="1"/>
        <v>CFG&lt;19&gt;</v>
      </c>
      <c r="C38" s="111"/>
      <c r="D38" s="112" t="s">
        <v>34</v>
      </c>
      <c r="E38" s="120">
        <v>1</v>
      </c>
      <c r="F38" s="132" t="s">
        <v>35</v>
      </c>
      <c r="L38" s="109" t="s">
        <v>36</v>
      </c>
    </row>
    <row r="39" spans="1:12">
      <c r="A39" s="111">
        <v>18</v>
      </c>
      <c r="B39" s="111" t="str">
        <f t="shared" si="1"/>
        <v>CFG&lt;18&gt;</v>
      </c>
      <c r="C39" s="111"/>
      <c r="D39" s="130"/>
      <c r="E39" s="120">
        <v>0</v>
      </c>
      <c r="F39" s="124"/>
      <c r="L39" s="109" t="s">
        <v>37</v>
      </c>
    </row>
    <row r="40" spans="1:6">
      <c r="A40" s="111">
        <v>17</v>
      </c>
      <c r="B40" s="111" t="str">
        <f t="shared" si="1"/>
        <v>CFG&lt;17&gt;</v>
      </c>
      <c r="C40" s="111"/>
      <c r="D40" s="130"/>
      <c r="E40" s="120">
        <v>1</v>
      </c>
      <c r="F40" s="124"/>
    </row>
    <row r="41" spans="1:6">
      <c r="A41" s="111">
        <v>16</v>
      </c>
      <c r="B41" s="111" t="str">
        <f t="shared" si="1"/>
        <v>CFG&lt;16&gt;</v>
      </c>
      <c r="C41" s="111"/>
      <c r="D41" s="116"/>
      <c r="E41" s="120">
        <v>0</v>
      </c>
      <c r="F41" s="126"/>
    </row>
    <row r="42" spans="1:9">
      <c r="A42" s="111">
        <v>15</v>
      </c>
      <c r="B42" s="111" t="str">
        <f t="shared" si="1"/>
        <v>CFG&lt;15&gt;</v>
      </c>
      <c r="C42" s="111"/>
      <c r="D42" s="119"/>
      <c r="E42" s="127">
        <v>0</v>
      </c>
      <c r="F42" s="119" t="s">
        <v>6</v>
      </c>
      <c r="H42" s="109" t="s">
        <v>38</v>
      </c>
      <c r="I42" s="109" t="str">
        <f>"0X"&amp;BIN2HEX(_xlfn.CONCAT(E42:E49),2)</f>
        <v>0X00</v>
      </c>
    </row>
    <row r="43" spans="1:6">
      <c r="A43" s="111">
        <v>14</v>
      </c>
      <c r="B43" s="111" t="str">
        <f t="shared" si="1"/>
        <v>CFG&lt;14&gt;</v>
      </c>
      <c r="C43" s="111"/>
      <c r="D43" s="119"/>
      <c r="E43" s="127">
        <v>0</v>
      </c>
      <c r="F43" s="119" t="s">
        <v>6</v>
      </c>
    </row>
    <row r="44" spans="1:6">
      <c r="A44" s="111">
        <v>13</v>
      </c>
      <c r="B44" s="111" t="str">
        <f t="shared" si="1"/>
        <v>CFG&lt;13&gt;</v>
      </c>
      <c r="C44" s="111"/>
      <c r="D44" s="119"/>
      <c r="E44" s="127">
        <v>0</v>
      </c>
      <c r="F44" s="119" t="s">
        <v>6</v>
      </c>
    </row>
    <row r="45" spans="1:6">
      <c r="A45" s="111">
        <v>12</v>
      </c>
      <c r="B45" s="111" t="str">
        <f t="shared" si="1"/>
        <v>CFG&lt;12&gt;</v>
      </c>
      <c r="C45" s="111"/>
      <c r="D45" s="119"/>
      <c r="E45" s="127">
        <v>0</v>
      </c>
      <c r="F45" s="119" t="s">
        <v>6</v>
      </c>
    </row>
    <row r="46" spans="1:6">
      <c r="A46" s="111">
        <v>11</v>
      </c>
      <c r="B46" s="111" t="str">
        <f t="shared" si="1"/>
        <v>CFG&lt;11&gt;</v>
      </c>
      <c r="C46" s="111"/>
      <c r="D46" s="121" t="s">
        <v>39</v>
      </c>
      <c r="E46" s="127">
        <v>0</v>
      </c>
      <c r="F46" s="119"/>
    </row>
    <row r="47" spans="1:6">
      <c r="A47" s="111">
        <v>10</v>
      </c>
      <c r="B47" s="111" t="str">
        <f t="shared" si="1"/>
        <v>CFG&lt;10&gt;</v>
      </c>
      <c r="C47" s="111"/>
      <c r="D47" s="123"/>
      <c r="E47" s="127">
        <v>0</v>
      </c>
      <c r="F47" s="119"/>
    </row>
    <row r="48" spans="1:6">
      <c r="A48" s="111">
        <v>9</v>
      </c>
      <c r="B48" s="111" t="str">
        <f t="shared" si="1"/>
        <v>CFG&lt;9&gt;</v>
      </c>
      <c r="C48" s="111"/>
      <c r="D48" s="125"/>
      <c r="E48" s="127">
        <v>0</v>
      </c>
      <c r="F48" s="119"/>
    </row>
    <row r="49" spans="1:6">
      <c r="A49" s="111">
        <v>8</v>
      </c>
      <c r="B49" s="111" t="str">
        <f t="shared" si="1"/>
        <v>CFG&lt;8&gt;</v>
      </c>
      <c r="C49" s="111"/>
      <c r="D49" s="121" t="s">
        <v>40</v>
      </c>
      <c r="E49" s="127">
        <v>0</v>
      </c>
      <c r="F49" s="119"/>
    </row>
    <row r="50" spans="1:9">
      <c r="A50" s="111">
        <v>7</v>
      </c>
      <c r="B50" s="111" t="str">
        <f t="shared" si="1"/>
        <v>CFG&lt;7&gt;</v>
      </c>
      <c r="C50" s="111"/>
      <c r="D50" s="123"/>
      <c r="E50" s="120">
        <v>0</v>
      </c>
      <c r="F50" s="119"/>
      <c r="H50" s="109" t="s">
        <v>41</v>
      </c>
      <c r="I50" s="109" t="str">
        <f>"0X"&amp;BIN2HEX(_xlfn.CONCAT(E50:E57),2)</f>
        <v>0X00</v>
      </c>
    </row>
    <row r="51" spans="1:6">
      <c r="A51" s="111">
        <v>6</v>
      </c>
      <c r="B51" s="111" t="str">
        <f t="shared" si="1"/>
        <v>CFG&lt;6&gt;</v>
      </c>
      <c r="C51" s="111"/>
      <c r="D51" s="123"/>
      <c r="E51" s="120">
        <v>0</v>
      </c>
      <c r="F51" s="119"/>
    </row>
    <row r="52" spans="1:6">
      <c r="A52" s="111">
        <v>5</v>
      </c>
      <c r="B52" s="111" t="str">
        <f t="shared" si="1"/>
        <v>CFG&lt;5&gt;</v>
      </c>
      <c r="C52" s="111"/>
      <c r="D52" s="125"/>
      <c r="E52" s="120">
        <v>0</v>
      </c>
      <c r="F52" s="119"/>
    </row>
    <row r="53" spans="1:6">
      <c r="A53" s="111">
        <v>4</v>
      </c>
      <c r="B53" s="111" t="str">
        <f t="shared" si="1"/>
        <v>CFG&lt;4&gt;</v>
      </c>
      <c r="C53" s="111"/>
      <c r="D53" s="112" t="s">
        <v>42</v>
      </c>
      <c r="E53" s="120">
        <v>0</v>
      </c>
      <c r="F53" s="119"/>
    </row>
    <row r="54" spans="1:6">
      <c r="A54" s="111">
        <v>3</v>
      </c>
      <c r="B54" s="111" t="str">
        <f t="shared" si="1"/>
        <v>CFG&lt;3&gt;</v>
      </c>
      <c r="C54" s="111"/>
      <c r="D54" s="130"/>
      <c r="E54" s="120">
        <v>0</v>
      </c>
      <c r="F54" s="119"/>
    </row>
    <row r="55" spans="1:6">
      <c r="A55" s="111">
        <v>2</v>
      </c>
      <c r="B55" s="111" t="str">
        <f t="shared" si="1"/>
        <v>CFG&lt;2&gt;</v>
      </c>
      <c r="C55" s="111"/>
      <c r="D55" s="130"/>
      <c r="E55" s="120">
        <v>0</v>
      </c>
      <c r="F55" s="119"/>
    </row>
    <row r="56" spans="1:6">
      <c r="A56" s="111">
        <v>1</v>
      </c>
      <c r="B56" s="111" t="str">
        <f t="shared" si="1"/>
        <v>CFG&lt;1&gt;</v>
      </c>
      <c r="C56" s="111"/>
      <c r="D56" s="130"/>
      <c r="E56" s="120">
        <v>0</v>
      </c>
      <c r="F56" s="119"/>
    </row>
    <row r="57" spans="1:6">
      <c r="A57" s="111">
        <v>0</v>
      </c>
      <c r="B57" s="111" t="str">
        <f t="shared" si="1"/>
        <v>CFG&lt;0&gt;</v>
      </c>
      <c r="C57" s="111"/>
      <c r="D57" s="116"/>
      <c r="E57" s="120">
        <v>0</v>
      </c>
      <c r="F57" s="119"/>
    </row>
    <row r="59" spans="1:5">
      <c r="A59" s="109" t="s">
        <v>43</v>
      </c>
      <c r="D59" s="109" t="s">
        <v>44</v>
      </c>
      <c r="E59" s="110" t="s">
        <v>44</v>
      </c>
    </row>
    <row r="60" spans="1:9">
      <c r="A60" s="119" t="s">
        <v>45</v>
      </c>
      <c r="B60" s="119" t="s">
        <v>46</v>
      </c>
      <c r="C60" s="119"/>
      <c r="D60" s="119" t="s">
        <v>47</v>
      </c>
      <c r="E60" s="135" t="s">
        <v>48</v>
      </c>
      <c r="F60" s="119"/>
      <c r="H60" s="109" t="str">
        <f>A59</f>
        <v>CFG_REFBIAS</v>
      </c>
      <c r="I60" s="109" t="str">
        <f>"0X"&amp;BIN2HEX(_xlfn.CONCAT(E60:E63),2)</f>
        <v>0X00</v>
      </c>
    </row>
    <row r="61" spans="1:6">
      <c r="A61" s="119" t="s">
        <v>49</v>
      </c>
      <c r="B61" s="119" t="s">
        <v>50</v>
      </c>
      <c r="C61" s="119"/>
      <c r="D61" s="119" t="s">
        <v>51</v>
      </c>
      <c r="E61" s="135" t="s">
        <v>52</v>
      </c>
      <c r="F61" s="119" t="s">
        <v>53</v>
      </c>
    </row>
    <row r="62" spans="1:6">
      <c r="A62" s="119" t="s">
        <v>54</v>
      </c>
      <c r="B62" s="119" t="s">
        <v>55</v>
      </c>
      <c r="C62" s="119"/>
      <c r="D62" s="119" t="s">
        <v>56</v>
      </c>
      <c r="E62" s="135" t="s">
        <v>52</v>
      </c>
      <c r="F62" s="119" t="s">
        <v>57</v>
      </c>
    </row>
    <row r="63" spans="1:6">
      <c r="A63" s="119" t="s">
        <v>58</v>
      </c>
      <c r="B63" s="119" t="s">
        <v>59</v>
      </c>
      <c r="C63" s="119"/>
      <c r="D63" s="119" t="s">
        <v>60</v>
      </c>
      <c r="E63" s="135" t="s">
        <v>52</v>
      </c>
      <c r="F63" s="119" t="s">
        <v>61</v>
      </c>
    </row>
    <row r="65" spans="1:6">
      <c r="A65" s="119" t="s">
        <v>62</v>
      </c>
      <c r="B65" s="119"/>
      <c r="C65" s="119"/>
      <c r="D65" s="119"/>
      <c r="E65" s="111"/>
      <c r="F65" s="119"/>
    </row>
    <row r="66" spans="1:9">
      <c r="A66" s="119" t="s">
        <v>63</v>
      </c>
      <c r="B66" s="119" t="s">
        <v>64</v>
      </c>
      <c r="C66" s="119"/>
      <c r="D66" s="119" t="s">
        <v>47</v>
      </c>
      <c r="E66" s="135" t="s">
        <v>65</v>
      </c>
      <c r="F66" s="119"/>
      <c r="H66" s="109" t="str">
        <f>A65</f>
        <v>CFG_IO</v>
      </c>
      <c r="I66" s="109" t="str">
        <f>"0X"&amp;BIN2HEX(_xlfn.CONCAT(E66:E69),2)</f>
        <v>0X01</v>
      </c>
    </row>
    <row r="67" spans="1:6">
      <c r="A67" s="119"/>
      <c r="B67" s="119" t="s">
        <v>66</v>
      </c>
      <c r="C67" s="119"/>
      <c r="D67" s="119" t="s">
        <v>67</v>
      </c>
      <c r="E67" s="135" t="s">
        <v>65</v>
      </c>
      <c r="F67" s="119"/>
    </row>
    <row r="68" spans="1:6">
      <c r="A68" s="119"/>
      <c r="B68" s="119"/>
      <c r="C68" s="119"/>
      <c r="D68" s="119" t="s">
        <v>68</v>
      </c>
      <c r="E68" s="135" t="s">
        <v>65</v>
      </c>
      <c r="F68" s="119"/>
    </row>
    <row r="69" spans="1:6">
      <c r="A69" s="119"/>
      <c r="B69" s="119"/>
      <c r="C69" s="119"/>
      <c r="D69" s="119" t="s">
        <v>69</v>
      </c>
      <c r="E69" s="135" t="s">
        <v>70</v>
      </c>
      <c r="F69" s="119"/>
    </row>
    <row r="72" spans="1:5">
      <c r="A72" s="119" t="s">
        <v>71</v>
      </c>
      <c r="B72" s="119"/>
      <c r="C72" s="119"/>
      <c r="D72" s="119"/>
      <c r="E72" s="111"/>
    </row>
    <row r="73" spans="1:9">
      <c r="A73" s="119" t="s">
        <v>72</v>
      </c>
      <c r="B73" s="119" t="s">
        <v>73</v>
      </c>
      <c r="C73" s="119"/>
      <c r="D73" s="119"/>
      <c r="E73" s="135" t="s">
        <v>74</v>
      </c>
      <c r="H73" s="109" t="str">
        <f>A72</f>
        <v>CP_Pgate</v>
      </c>
      <c r="I73" s="109" t="str">
        <f>"0X"&amp;BIN2HEX(_xlfn.CONCAT(E73:E78),2)</f>
        <v>0X00</v>
      </c>
    </row>
    <row r="74" spans="1:5">
      <c r="A74" s="119">
        <v>4</v>
      </c>
      <c r="B74" s="119" t="str">
        <f>"CPG_PGATE("&amp;A74&amp;")"</f>
        <v>CPG_PGATE(4)</v>
      </c>
      <c r="C74" s="119"/>
      <c r="D74" s="119" t="s">
        <v>75</v>
      </c>
      <c r="E74" s="111">
        <v>0</v>
      </c>
    </row>
    <row r="75" spans="1:5">
      <c r="A75" s="119">
        <v>3</v>
      </c>
      <c r="B75" s="119" t="str">
        <f t="shared" ref="B75:B78" si="2">"CPG_PGATE("&amp;A75&amp;")"</f>
        <v>CPG_PGATE(3)</v>
      </c>
      <c r="C75" s="119"/>
      <c r="D75" s="119" t="s">
        <v>76</v>
      </c>
      <c r="E75" s="111">
        <v>0</v>
      </c>
    </row>
    <row r="76" spans="1:5">
      <c r="A76" s="119">
        <v>2</v>
      </c>
      <c r="B76" s="119" t="str">
        <f t="shared" si="2"/>
        <v>CPG_PGATE(2)</v>
      </c>
      <c r="C76" s="119"/>
      <c r="D76" s="119" t="s">
        <v>77</v>
      </c>
      <c r="E76" s="111">
        <v>0</v>
      </c>
    </row>
    <row r="77" spans="1:5">
      <c r="A77" s="119">
        <v>1</v>
      </c>
      <c r="B77" s="119" t="str">
        <f t="shared" si="2"/>
        <v>CPG_PGATE(1)</v>
      </c>
      <c r="C77" s="119"/>
      <c r="D77" s="119" t="s">
        <v>78</v>
      </c>
      <c r="E77" s="111">
        <v>0</v>
      </c>
    </row>
    <row r="78" spans="1:5">
      <c r="A78" s="119">
        <v>0</v>
      </c>
      <c r="B78" s="119" t="str">
        <f t="shared" si="2"/>
        <v>CPG_PGATE(0)</v>
      </c>
      <c r="C78" s="119"/>
      <c r="D78" s="119" t="s">
        <v>79</v>
      </c>
      <c r="E78" s="111">
        <v>0</v>
      </c>
    </row>
    <row r="81" spans="1:1">
      <c r="A81" s="109" t="s">
        <v>80</v>
      </c>
    </row>
    <row r="82" spans="1:5">
      <c r="A82" s="109" t="s">
        <v>63</v>
      </c>
      <c r="B82" s="109" t="s">
        <v>81</v>
      </c>
      <c r="E82" s="136" t="s">
        <v>82</v>
      </c>
    </row>
    <row r="83" spans="8:9">
      <c r="H83" s="109" t="str">
        <f>A81</f>
        <v>CP_SPARE</v>
      </c>
      <c r="I83" s="109" t="str">
        <f>"0X"&amp;BIN2HEX(_xlfn.CONCAT(E83:E88),2)</f>
        <v>0X00</v>
      </c>
    </row>
    <row r="85" spans="1:1">
      <c r="A85" s="109" t="s">
        <v>83</v>
      </c>
    </row>
    <row r="86" spans="1:9">
      <c r="A86" s="119" t="s">
        <v>84</v>
      </c>
      <c r="B86" s="119" t="s">
        <v>85</v>
      </c>
      <c r="C86" s="119"/>
      <c r="D86" s="119" t="s">
        <v>47</v>
      </c>
      <c r="E86" s="135" t="s">
        <v>86</v>
      </c>
      <c r="F86" s="119"/>
      <c r="H86" s="109" t="str">
        <f>A85</f>
        <v>CFG_CPCLK0</v>
      </c>
      <c r="I86" s="109" t="str">
        <f>"0X"&amp;BIN2HEX(_xlfn.CONCAT(E86:E89),2)</f>
        <v>0X00</v>
      </c>
    </row>
    <row r="87" ht="28.8" spans="1:6">
      <c r="A87" s="119" t="s">
        <v>87</v>
      </c>
      <c r="B87" s="119" t="str">
        <f t="shared" ref="B87:B89" si="3">"CPG_PGATE("&amp;A87&amp;")"</f>
        <v>CPG_PGATE(&lt;3:2&gt;)</v>
      </c>
      <c r="C87" s="119"/>
      <c r="D87" s="119" t="s">
        <v>88</v>
      </c>
      <c r="E87" s="135" t="s">
        <v>65</v>
      </c>
      <c r="F87" s="134" t="s">
        <v>89</v>
      </c>
    </row>
    <row r="88" spans="1:6">
      <c r="A88" s="119" t="s">
        <v>54</v>
      </c>
      <c r="B88" s="119" t="str">
        <f t="shared" si="3"/>
        <v>CPG_PGATE(&lt;1&gt;)</v>
      </c>
      <c r="C88" s="119"/>
      <c r="D88" s="119" t="s">
        <v>90</v>
      </c>
      <c r="E88" s="111">
        <v>0</v>
      </c>
      <c r="F88" s="119" t="s">
        <v>91</v>
      </c>
    </row>
    <row r="89" spans="1:6">
      <c r="A89" s="119" t="s">
        <v>58</v>
      </c>
      <c r="B89" s="119" t="str">
        <f t="shared" si="3"/>
        <v>CPG_PGATE(&lt;0&gt;)</v>
      </c>
      <c r="C89" s="119"/>
      <c r="D89" s="119" t="s">
        <v>92</v>
      </c>
      <c r="E89" s="111">
        <v>0</v>
      </c>
      <c r="F89" s="134" t="s">
        <v>93</v>
      </c>
    </row>
  </sheetData>
  <mergeCells count="23">
    <mergeCell ref="D2:D3"/>
    <mergeCell ref="D6:D8"/>
    <mergeCell ref="D9:D11"/>
    <mergeCell ref="D12:D14"/>
    <mergeCell ref="D15:D17"/>
    <mergeCell ref="D21:D22"/>
    <mergeCell ref="D24:D30"/>
    <mergeCell ref="D31:D37"/>
    <mergeCell ref="D38:D41"/>
    <mergeCell ref="D46:D48"/>
    <mergeCell ref="D49:D52"/>
    <mergeCell ref="D53:D57"/>
    <mergeCell ref="F2:F3"/>
    <mergeCell ref="F6:F8"/>
    <mergeCell ref="F9:F11"/>
    <mergeCell ref="F12:F14"/>
    <mergeCell ref="F15:F17"/>
    <mergeCell ref="F21:F22"/>
    <mergeCell ref="F25:F27"/>
    <mergeCell ref="F28:F30"/>
    <mergeCell ref="F32:F34"/>
    <mergeCell ref="F35:F37"/>
    <mergeCell ref="F38:F41"/>
  </mergeCells>
  <pageMargins left="0.7" right="0.7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L131"/>
  <sheetViews>
    <sheetView showGridLines="0" showRowColHeaders="0" zoomScale="120" zoomScaleNormal="120" workbookViewId="0">
      <selection activeCell="I44" sqref="I44:L44"/>
    </sheetView>
  </sheetViews>
  <sheetFormatPr defaultColWidth="9" defaultRowHeight="14.4"/>
  <cols>
    <col min="1" max="1" width="2.57407407407407" customWidth="1"/>
    <col min="2" max="2" width="8.57407407407407" customWidth="1"/>
    <col min="3" max="4" width="9.57407407407407" customWidth="1"/>
    <col min="5" max="12" width="25.5740740740741" customWidth="1"/>
  </cols>
  <sheetData>
    <row r="1" spans="2:12">
      <c r="B1" s="23" t="s">
        <v>94</v>
      </c>
      <c r="C1" s="23"/>
      <c r="D1" s="23"/>
      <c r="E1" s="23"/>
      <c r="F1" s="23"/>
      <c r="G1" s="23"/>
      <c r="H1" s="23"/>
      <c r="I1" s="23"/>
      <c r="J1" s="23"/>
      <c r="K1" s="23"/>
      <c r="L1" s="23"/>
    </row>
    <row r="3" spans="2:12">
      <c r="B3" s="102" t="s">
        <v>95</v>
      </c>
      <c r="C3" s="102" t="s">
        <v>96</v>
      </c>
      <c r="D3" s="102" t="s">
        <v>97</v>
      </c>
      <c r="E3" s="102" t="s">
        <v>98</v>
      </c>
      <c r="F3" s="102" t="s">
        <v>99</v>
      </c>
      <c r="G3" s="102" t="s">
        <v>100</v>
      </c>
      <c r="H3" s="102" t="s">
        <v>101</v>
      </c>
      <c r="I3" s="102" t="s">
        <v>102</v>
      </c>
      <c r="J3" s="102" t="s">
        <v>103</v>
      </c>
      <c r="K3" s="102" t="s">
        <v>104</v>
      </c>
      <c r="L3" s="102" t="s">
        <v>105</v>
      </c>
    </row>
    <row r="4" spans="2:12">
      <c r="B4" s="103" t="s">
        <v>106</v>
      </c>
      <c r="C4" s="59" t="s">
        <v>107</v>
      </c>
      <c r="D4" s="59" t="s">
        <v>108</v>
      </c>
      <c r="E4" s="104" t="s">
        <v>109</v>
      </c>
      <c r="F4" s="104"/>
      <c r="G4" s="104"/>
      <c r="H4" s="105"/>
      <c r="I4" s="104" t="s">
        <v>110</v>
      </c>
      <c r="J4" s="104"/>
      <c r="K4" s="104"/>
      <c r="L4" s="105"/>
    </row>
    <row r="5" spans="2:12">
      <c r="B5" s="103" t="s">
        <v>111</v>
      </c>
      <c r="C5" s="59"/>
      <c r="D5" s="59"/>
      <c r="E5" s="104" t="s">
        <v>112</v>
      </c>
      <c r="F5" s="104"/>
      <c r="G5" s="104"/>
      <c r="H5" s="104"/>
      <c r="I5" s="105"/>
      <c r="J5" s="104" t="s">
        <v>113</v>
      </c>
      <c r="K5" s="104"/>
      <c r="L5" s="105"/>
    </row>
    <row r="6" spans="2:12">
      <c r="B6" s="103" t="s">
        <v>114</v>
      </c>
      <c r="C6" s="59"/>
      <c r="D6" s="59"/>
      <c r="E6" s="104" t="s">
        <v>115</v>
      </c>
      <c r="F6" s="104" t="s">
        <v>116</v>
      </c>
      <c r="G6" s="104"/>
      <c r="H6" s="104"/>
      <c r="I6" s="104"/>
      <c r="J6" s="104"/>
      <c r="K6" s="105"/>
      <c r="L6" s="104" t="s">
        <v>117</v>
      </c>
    </row>
    <row r="7" spans="2:12">
      <c r="B7" s="103" t="s">
        <v>118</v>
      </c>
      <c r="C7" s="59"/>
      <c r="D7" s="59"/>
      <c r="E7" s="104" t="s">
        <v>119</v>
      </c>
      <c r="F7" s="104"/>
      <c r="G7" s="105"/>
      <c r="H7" s="104" t="s">
        <v>120</v>
      </c>
      <c r="I7" s="104"/>
      <c r="J7" s="104"/>
      <c r="K7" s="104"/>
      <c r="L7" s="105"/>
    </row>
    <row r="8" spans="2:12">
      <c r="B8" s="103" t="s">
        <v>121</v>
      </c>
      <c r="C8" s="59"/>
      <c r="D8" s="59"/>
      <c r="E8" s="104" t="s">
        <v>122</v>
      </c>
      <c r="F8" s="104"/>
      <c r="G8" s="105"/>
      <c r="H8" s="104" t="s">
        <v>123</v>
      </c>
      <c r="I8" s="104"/>
      <c r="J8" s="104"/>
      <c r="K8" s="104"/>
      <c r="L8" s="105"/>
    </row>
    <row r="9" spans="2:12">
      <c r="B9" s="103" t="s">
        <v>124</v>
      </c>
      <c r="C9" s="59"/>
      <c r="D9" s="59"/>
      <c r="E9" s="104" t="s">
        <v>125</v>
      </c>
      <c r="F9" s="104" t="s">
        <v>126</v>
      </c>
      <c r="G9" s="104"/>
      <c r="H9" s="104"/>
      <c r="I9" s="104"/>
      <c r="J9" s="104"/>
      <c r="K9" s="105"/>
      <c r="L9" s="104" t="s">
        <v>127</v>
      </c>
    </row>
    <row r="10" spans="2:12">
      <c r="B10" s="103" t="s">
        <v>128</v>
      </c>
      <c r="C10" s="59"/>
      <c r="D10" s="59"/>
      <c r="E10" s="104" t="s">
        <v>129</v>
      </c>
      <c r="F10" s="104"/>
      <c r="G10" s="105"/>
      <c r="H10" s="104" t="s">
        <v>130</v>
      </c>
      <c r="I10" s="104"/>
      <c r="J10" s="104"/>
      <c r="K10" s="104"/>
      <c r="L10" s="105"/>
    </row>
    <row r="11" spans="2:12">
      <c r="B11" s="103" t="s">
        <v>131</v>
      </c>
      <c r="C11" s="59"/>
      <c r="D11" s="59"/>
      <c r="E11" s="106" t="s">
        <v>132</v>
      </c>
      <c r="F11" s="106"/>
      <c r="G11" s="106"/>
      <c r="H11" s="106"/>
      <c r="I11" s="106"/>
      <c r="J11" s="106"/>
      <c r="K11" s="106"/>
      <c r="L11" s="104" t="s">
        <v>133</v>
      </c>
    </row>
    <row r="12" spans="2:12">
      <c r="B12" s="103" t="s">
        <v>134</v>
      </c>
      <c r="C12" s="59"/>
      <c r="D12" s="59" t="s">
        <v>135</v>
      </c>
      <c r="E12" s="104" t="s">
        <v>136</v>
      </c>
      <c r="F12" s="104"/>
      <c r="G12" s="104"/>
      <c r="H12" s="104"/>
      <c r="I12" s="104"/>
      <c r="J12" s="104"/>
      <c r="K12" s="104"/>
      <c r="L12" s="105"/>
    </row>
    <row r="13" spans="2:12">
      <c r="B13" s="103" t="s">
        <v>137</v>
      </c>
      <c r="C13" s="59"/>
      <c r="D13" s="59"/>
      <c r="E13" s="104" t="s">
        <v>138</v>
      </c>
      <c r="F13" s="104"/>
      <c r="G13" s="104"/>
      <c r="H13" s="104"/>
      <c r="I13" s="104"/>
      <c r="J13" s="104"/>
      <c r="K13" s="104"/>
      <c r="L13" s="105"/>
    </row>
    <row r="14" spans="2:12">
      <c r="B14" s="103" t="s">
        <v>139</v>
      </c>
      <c r="C14" s="59"/>
      <c r="D14" s="59"/>
      <c r="E14" s="104" t="s">
        <v>140</v>
      </c>
      <c r="F14" s="104"/>
      <c r="G14" s="104"/>
      <c r="H14" s="104"/>
      <c r="I14" s="104"/>
      <c r="J14" s="104"/>
      <c r="K14" s="104"/>
      <c r="L14" s="105"/>
    </row>
    <row r="15" spans="2:12">
      <c r="B15" s="103" t="s">
        <v>141</v>
      </c>
      <c r="C15" s="59"/>
      <c r="D15" s="59"/>
      <c r="E15" s="104" t="s">
        <v>142</v>
      </c>
      <c r="F15" s="104"/>
      <c r="G15" s="104"/>
      <c r="H15" s="104"/>
      <c r="I15" s="104"/>
      <c r="J15" s="104"/>
      <c r="K15" s="104"/>
      <c r="L15" s="105"/>
    </row>
    <row r="16" spans="2:12">
      <c r="B16" s="103" t="s">
        <v>143</v>
      </c>
      <c r="C16" s="59"/>
      <c r="D16" s="59"/>
      <c r="E16" s="104" t="s">
        <v>144</v>
      </c>
      <c r="F16" s="104"/>
      <c r="G16" s="104"/>
      <c r="H16" s="104"/>
      <c r="I16" s="104"/>
      <c r="J16" s="104"/>
      <c r="K16" s="104"/>
      <c r="L16" s="105"/>
    </row>
    <row r="17" spans="2:12">
      <c r="B17" s="103" t="s">
        <v>145</v>
      </c>
      <c r="C17" s="59"/>
      <c r="D17" s="59"/>
      <c r="E17" s="104" t="s">
        <v>146</v>
      </c>
      <c r="F17" s="104"/>
      <c r="G17" s="104"/>
      <c r="H17" s="104"/>
      <c r="I17" s="104"/>
      <c r="J17" s="104"/>
      <c r="K17" s="104"/>
      <c r="L17" s="105"/>
    </row>
    <row r="18" spans="2:12">
      <c r="B18" s="103" t="s">
        <v>147</v>
      </c>
      <c r="C18" s="59"/>
      <c r="D18" s="59"/>
      <c r="E18" s="104" t="s">
        <v>148</v>
      </c>
      <c r="F18" s="104"/>
      <c r="G18" s="104"/>
      <c r="H18" s="104"/>
      <c r="I18" s="104"/>
      <c r="J18" s="104"/>
      <c r="K18" s="104"/>
      <c r="L18" s="105"/>
    </row>
    <row r="19" spans="2:12">
      <c r="B19" s="103" t="s">
        <v>149</v>
      </c>
      <c r="C19" s="59"/>
      <c r="D19" s="59"/>
      <c r="E19" s="106" t="s">
        <v>132</v>
      </c>
      <c r="F19" s="106"/>
      <c r="G19" s="106"/>
      <c r="H19" s="106"/>
      <c r="I19" s="106"/>
      <c r="J19" s="106"/>
      <c r="K19" s="106"/>
      <c r="L19" s="104" t="s">
        <v>150</v>
      </c>
    </row>
    <row r="20" spans="2:12">
      <c r="B20" s="103" t="s">
        <v>151</v>
      </c>
      <c r="C20" s="59"/>
      <c r="D20" s="59" t="s">
        <v>152</v>
      </c>
      <c r="E20" s="104" t="s">
        <v>153</v>
      </c>
      <c r="F20" s="104" t="s">
        <v>154</v>
      </c>
      <c r="G20" s="104"/>
      <c r="H20" s="104"/>
      <c r="I20" s="104"/>
      <c r="J20" s="104"/>
      <c r="K20" s="104"/>
      <c r="L20" s="105"/>
    </row>
    <row r="21" spans="2:12">
      <c r="B21" s="103" t="s">
        <v>155</v>
      </c>
      <c r="C21" s="59"/>
      <c r="D21" s="59"/>
      <c r="E21" s="104" t="s">
        <v>156</v>
      </c>
      <c r="F21" s="105"/>
      <c r="G21" s="104" t="s">
        <v>157</v>
      </c>
      <c r="H21" s="105"/>
      <c r="I21" s="104" t="s">
        <v>158</v>
      </c>
      <c r="J21" s="105"/>
      <c r="K21" s="104" t="s">
        <v>51</v>
      </c>
      <c r="L21" s="104" t="s">
        <v>56</v>
      </c>
    </row>
    <row r="22" spans="2:12">
      <c r="B22" s="103" t="s">
        <v>159</v>
      </c>
      <c r="C22" s="59"/>
      <c r="D22" s="59"/>
      <c r="E22" s="104" t="s">
        <v>160</v>
      </c>
      <c r="F22" s="104"/>
      <c r="G22" s="105"/>
      <c r="H22" s="104" t="s">
        <v>161</v>
      </c>
      <c r="I22" s="104"/>
      <c r="J22" s="104"/>
      <c r="K22" s="104"/>
      <c r="L22" s="105"/>
    </row>
    <row r="23" spans="2:12">
      <c r="B23" s="103" t="s">
        <v>162</v>
      </c>
      <c r="C23" s="59"/>
      <c r="D23" s="59"/>
      <c r="E23" s="104" t="s">
        <v>163</v>
      </c>
      <c r="F23" s="104" t="s">
        <v>164</v>
      </c>
      <c r="G23" s="104" t="s">
        <v>165</v>
      </c>
      <c r="H23" s="104" t="s">
        <v>166</v>
      </c>
      <c r="I23" s="104"/>
      <c r="J23" s="104"/>
      <c r="K23" s="104"/>
      <c r="L23" s="105"/>
    </row>
    <row r="24" spans="2:12">
      <c r="B24" s="103" t="s">
        <v>167</v>
      </c>
      <c r="C24" s="59"/>
      <c r="D24" s="59"/>
      <c r="E24" s="104" t="s">
        <v>168</v>
      </c>
      <c r="F24" s="104" t="s">
        <v>169</v>
      </c>
      <c r="G24" s="104" t="s">
        <v>170</v>
      </c>
      <c r="H24" s="104" t="s">
        <v>171</v>
      </c>
      <c r="I24" s="104" t="s">
        <v>172</v>
      </c>
      <c r="J24" s="104" t="s">
        <v>173</v>
      </c>
      <c r="K24" s="104" t="s">
        <v>174</v>
      </c>
      <c r="L24" s="104" t="s">
        <v>175</v>
      </c>
    </row>
    <row r="25" spans="2:12">
      <c r="B25" s="103" t="s">
        <v>176</v>
      </c>
      <c r="C25" s="59"/>
      <c r="D25" s="59"/>
      <c r="E25" s="104" t="s">
        <v>177</v>
      </c>
      <c r="F25" s="105"/>
      <c r="G25" s="104" t="s">
        <v>178</v>
      </c>
      <c r="H25" s="105"/>
      <c r="I25" s="104" t="s">
        <v>179</v>
      </c>
      <c r="J25" s="104" t="s">
        <v>174</v>
      </c>
      <c r="K25" s="104" t="s">
        <v>175</v>
      </c>
      <c r="L25" s="104" t="s">
        <v>163</v>
      </c>
    </row>
    <row r="26" spans="2:12">
      <c r="B26" s="103" t="s">
        <v>180</v>
      </c>
      <c r="C26" s="59"/>
      <c r="D26" s="59"/>
      <c r="E26" s="104" t="s">
        <v>181</v>
      </c>
      <c r="F26" s="105"/>
      <c r="G26" s="104" t="s">
        <v>182</v>
      </c>
      <c r="H26" s="105"/>
      <c r="I26" s="104" t="s">
        <v>183</v>
      </c>
      <c r="J26" s="105"/>
      <c r="K26" s="104" t="s">
        <v>184</v>
      </c>
      <c r="L26" s="105"/>
    </row>
    <row r="27" spans="2:12">
      <c r="B27" s="103" t="s">
        <v>185</v>
      </c>
      <c r="C27" s="59"/>
      <c r="D27" s="59"/>
      <c r="E27" s="106" t="s">
        <v>132</v>
      </c>
      <c r="F27" s="106"/>
      <c r="G27" s="106"/>
      <c r="H27" s="106"/>
      <c r="I27" s="106"/>
      <c r="J27" s="106"/>
      <c r="K27" s="106"/>
      <c r="L27" s="104" t="s">
        <v>186</v>
      </c>
    </row>
    <row r="28" spans="2:12">
      <c r="B28" s="103" t="s">
        <v>187</v>
      </c>
      <c r="C28" s="59"/>
      <c r="D28" s="59" t="s">
        <v>188</v>
      </c>
      <c r="E28" s="104" t="s">
        <v>189</v>
      </c>
      <c r="F28" s="104" t="s">
        <v>190</v>
      </c>
      <c r="G28" s="105"/>
      <c r="H28" s="104" t="s">
        <v>191</v>
      </c>
      <c r="I28" s="105"/>
      <c r="J28" s="104" t="s">
        <v>192</v>
      </c>
      <c r="K28" s="105"/>
      <c r="L28" s="104" t="s">
        <v>193</v>
      </c>
    </row>
    <row r="29" spans="2:12">
      <c r="B29" s="103" t="s">
        <v>194</v>
      </c>
      <c r="C29" s="59"/>
      <c r="D29" s="59"/>
      <c r="E29" s="104" t="s">
        <v>195</v>
      </c>
      <c r="F29" s="104"/>
      <c r="G29" s="105"/>
      <c r="H29" s="104" t="s">
        <v>196</v>
      </c>
      <c r="I29" s="105"/>
      <c r="J29" s="104" t="s">
        <v>197</v>
      </c>
      <c r="K29" s="105"/>
      <c r="L29" s="104" t="s">
        <v>198</v>
      </c>
    </row>
    <row r="30" spans="2:12">
      <c r="B30" s="103" t="s">
        <v>199</v>
      </c>
      <c r="C30" s="59"/>
      <c r="D30" s="59"/>
      <c r="E30" s="104" t="s">
        <v>200</v>
      </c>
      <c r="F30" s="105"/>
      <c r="G30" s="104" t="s">
        <v>201</v>
      </c>
      <c r="H30" s="104"/>
      <c r="I30" s="105"/>
      <c r="J30" s="104" t="s">
        <v>202</v>
      </c>
      <c r="K30" s="104"/>
      <c r="L30" s="105"/>
    </row>
    <row r="31" spans="2:12">
      <c r="B31" s="103" t="s">
        <v>203</v>
      </c>
      <c r="C31" s="59"/>
      <c r="D31" s="59"/>
      <c r="E31" s="104" t="s">
        <v>204</v>
      </c>
      <c r="F31" s="104" t="s">
        <v>205</v>
      </c>
      <c r="G31" s="104"/>
      <c r="H31" s="105"/>
      <c r="I31" s="104" t="s">
        <v>206</v>
      </c>
      <c r="J31" s="104"/>
      <c r="K31" s="105"/>
      <c r="L31" s="104" t="s">
        <v>207</v>
      </c>
    </row>
    <row r="32" spans="2:12">
      <c r="B32" s="103" t="s">
        <v>208</v>
      </c>
      <c r="C32" s="59"/>
      <c r="D32" s="59"/>
      <c r="E32" s="104" t="s">
        <v>209</v>
      </c>
      <c r="F32" s="104"/>
      <c r="G32" s="105"/>
      <c r="H32" s="104" t="s">
        <v>210</v>
      </c>
      <c r="I32" s="104"/>
      <c r="J32" s="105"/>
      <c r="K32" s="104" t="s">
        <v>211</v>
      </c>
      <c r="L32" s="105"/>
    </row>
    <row r="33" spans="2:12">
      <c r="B33" s="103" t="s">
        <v>212</v>
      </c>
      <c r="C33" s="59"/>
      <c r="D33" s="59"/>
      <c r="E33" s="104" t="s">
        <v>213</v>
      </c>
      <c r="F33" s="104"/>
      <c r="G33" s="104"/>
      <c r="H33" s="105"/>
      <c r="I33" s="104" t="s">
        <v>214</v>
      </c>
      <c r="J33" s="105"/>
      <c r="K33" s="104" t="s">
        <v>90</v>
      </c>
      <c r="L33" s="104" t="s">
        <v>215</v>
      </c>
    </row>
    <row r="34" spans="2:12">
      <c r="B34" s="103" t="s">
        <v>216</v>
      </c>
      <c r="C34" s="59"/>
      <c r="D34" s="59"/>
      <c r="E34" s="104" t="s">
        <v>217</v>
      </c>
      <c r="F34" s="104"/>
      <c r="G34" s="104"/>
      <c r="H34" s="105"/>
      <c r="I34" s="104" t="s">
        <v>218</v>
      </c>
      <c r="J34" s="104"/>
      <c r="K34" s="104"/>
      <c r="L34" s="105"/>
    </row>
    <row r="35" spans="2:12">
      <c r="B35" s="103" t="s">
        <v>219</v>
      </c>
      <c r="C35" s="59"/>
      <c r="D35" s="59"/>
      <c r="E35" s="106" t="s">
        <v>132</v>
      </c>
      <c r="F35" s="106"/>
      <c r="G35" s="106"/>
      <c r="H35" s="106"/>
      <c r="I35" s="106"/>
      <c r="J35" s="106"/>
      <c r="K35" s="106"/>
      <c r="L35" s="104" t="s">
        <v>220</v>
      </c>
    </row>
    <row r="36" spans="2:12">
      <c r="B36" s="103" t="s">
        <v>221</v>
      </c>
      <c r="C36" s="59"/>
      <c r="D36" s="59" t="s">
        <v>222</v>
      </c>
      <c r="E36" s="104" t="s">
        <v>223</v>
      </c>
      <c r="F36" s="105"/>
      <c r="G36" s="104" t="s">
        <v>224</v>
      </c>
      <c r="H36" s="104"/>
      <c r="I36" s="104"/>
      <c r="J36" s="104"/>
      <c r="K36" s="104"/>
      <c r="L36" s="105"/>
    </row>
    <row r="37" spans="2:12">
      <c r="B37" s="103" t="s">
        <v>225</v>
      </c>
      <c r="C37" s="59"/>
      <c r="D37" s="59"/>
      <c r="E37" s="104" t="s">
        <v>226</v>
      </c>
      <c r="F37" s="105"/>
      <c r="G37" s="104" t="s">
        <v>227</v>
      </c>
      <c r="H37" s="104"/>
      <c r="I37" s="104"/>
      <c r="J37" s="104"/>
      <c r="K37" s="104"/>
      <c r="L37" s="105"/>
    </row>
    <row r="38" spans="2:12">
      <c r="B38" s="103" t="s">
        <v>228</v>
      </c>
      <c r="C38" s="59"/>
      <c r="D38" s="59"/>
      <c r="E38" s="104" t="s">
        <v>229</v>
      </c>
      <c r="F38" s="105"/>
      <c r="G38" s="104" t="s">
        <v>230</v>
      </c>
      <c r="H38" s="104"/>
      <c r="I38" s="104"/>
      <c r="J38" s="104"/>
      <c r="K38" s="104"/>
      <c r="L38" s="105"/>
    </row>
    <row r="39" spans="2:12">
      <c r="B39" s="103" t="s">
        <v>231</v>
      </c>
      <c r="C39" s="59"/>
      <c r="D39" s="59"/>
      <c r="E39" s="104" t="s">
        <v>232</v>
      </c>
      <c r="F39" s="104"/>
      <c r="G39" s="104"/>
      <c r="H39" s="104"/>
      <c r="I39" s="104"/>
      <c r="J39" s="105"/>
      <c r="K39" s="104" t="s">
        <v>233</v>
      </c>
      <c r="L39" s="105"/>
    </row>
    <row r="40" spans="2:12">
      <c r="B40" s="103" t="s">
        <v>234</v>
      </c>
      <c r="C40" s="59"/>
      <c r="D40" s="59"/>
      <c r="E40" s="104" t="s">
        <v>235</v>
      </c>
      <c r="F40" s="105"/>
      <c r="G40" s="104" t="s">
        <v>236</v>
      </c>
      <c r="H40" s="104"/>
      <c r="I40" s="104"/>
      <c r="J40" s="105"/>
      <c r="K40" s="104" t="s">
        <v>237</v>
      </c>
      <c r="L40" s="105"/>
    </row>
    <row r="41" spans="2:12">
      <c r="B41" s="103" t="s">
        <v>238</v>
      </c>
      <c r="C41" s="59"/>
      <c r="D41" s="59"/>
      <c r="E41" s="104" t="s">
        <v>239</v>
      </c>
      <c r="F41" s="104" t="s">
        <v>240</v>
      </c>
      <c r="G41" s="104" t="s">
        <v>241</v>
      </c>
      <c r="H41" s="104"/>
      <c r="I41" s="104"/>
      <c r="J41" s="105"/>
      <c r="K41" s="104" t="s">
        <v>242</v>
      </c>
      <c r="L41" s="105"/>
    </row>
    <row r="42" spans="2:12">
      <c r="B42" s="103" t="s">
        <v>243</v>
      </c>
      <c r="C42" s="59"/>
      <c r="D42" s="59"/>
      <c r="E42" s="104" t="s">
        <v>244</v>
      </c>
      <c r="F42" s="104"/>
      <c r="G42" s="104"/>
      <c r="H42" s="104"/>
      <c r="I42" s="104"/>
      <c r="J42" s="104"/>
      <c r="K42" s="105"/>
      <c r="L42" s="104" t="s">
        <v>245</v>
      </c>
    </row>
    <row r="43" spans="2:12">
      <c r="B43" s="103" t="s">
        <v>246</v>
      </c>
      <c r="C43" s="59"/>
      <c r="D43" s="59"/>
      <c r="E43" s="106" t="s">
        <v>132</v>
      </c>
      <c r="F43" s="106"/>
      <c r="G43" s="106"/>
      <c r="H43" s="106"/>
      <c r="I43" s="106"/>
      <c r="J43" s="106"/>
      <c r="K43" s="106"/>
      <c r="L43" s="104" t="s">
        <v>247</v>
      </c>
    </row>
    <row r="44" spans="2:12">
      <c r="B44" s="107" t="s">
        <v>248</v>
      </c>
      <c r="C44" s="59" t="s">
        <v>249</v>
      </c>
      <c r="D44" s="59" t="s">
        <v>108</v>
      </c>
      <c r="E44" s="104" t="s">
        <v>109</v>
      </c>
      <c r="F44" s="104"/>
      <c r="G44" s="104"/>
      <c r="H44" s="105"/>
      <c r="I44" s="104" t="s">
        <v>110</v>
      </c>
      <c r="J44" s="104"/>
      <c r="K44" s="104"/>
      <c r="L44" s="105"/>
    </row>
    <row r="45" spans="2:12">
      <c r="B45" s="107" t="s">
        <v>250</v>
      </c>
      <c r="C45" s="59"/>
      <c r="D45" s="59"/>
      <c r="E45" s="104" t="s">
        <v>112</v>
      </c>
      <c r="F45" s="104"/>
      <c r="G45" s="104"/>
      <c r="H45" s="104"/>
      <c r="I45" s="105"/>
      <c r="J45" s="104" t="s">
        <v>113</v>
      </c>
      <c r="K45" s="104"/>
      <c r="L45" s="105"/>
    </row>
    <row r="46" spans="2:12">
      <c r="B46" s="107" t="s">
        <v>251</v>
      </c>
      <c r="C46" s="59"/>
      <c r="D46" s="59"/>
      <c r="E46" s="104" t="s">
        <v>115</v>
      </c>
      <c r="F46" s="104" t="s">
        <v>116</v>
      </c>
      <c r="G46" s="104"/>
      <c r="H46" s="104"/>
      <c r="I46" s="104"/>
      <c r="J46" s="104"/>
      <c r="K46" s="105"/>
      <c r="L46" s="104" t="s">
        <v>117</v>
      </c>
    </row>
    <row r="47" spans="2:12">
      <c r="B47" s="107" t="s">
        <v>252</v>
      </c>
      <c r="C47" s="59"/>
      <c r="D47" s="59"/>
      <c r="E47" s="104" t="s">
        <v>119</v>
      </c>
      <c r="F47" s="104"/>
      <c r="G47" s="105"/>
      <c r="H47" s="104" t="s">
        <v>120</v>
      </c>
      <c r="I47" s="104"/>
      <c r="J47" s="104"/>
      <c r="K47" s="104"/>
      <c r="L47" s="105"/>
    </row>
    <row r="48" spans="2:12">
      <c r="B48" s="107" t="s">
        <v>253</v>
      </c>
      <c r="C48" s="59"/>
      <c r="D48" s="59"/>
      <c r="E48" s="104" t="s">
        <v>122</v>
      </c>
      <c r="F48" s="104"/>
      <c r="G48" s="105"/>
      <c r="H48" s="104" t="s">
        <v>123</v>
      </c>
      <c r="I48" s="104"/>
      <c r="J48" s="104"/>
      <c r="K48" s="104"/>
      <c r="L48" s="105"/>
    </row>
    <row r="49" spans="2:12">
      <c r="B49" s="107" t="s">
        <v>254</v>
      </c>
      <c r="C49" s="59"/>
      <c r="D49" s="59"/>
      <c r="E49" s="104" t="s">
        <v>125</v>
      </c>
      <c r="F49" s="104" t="s">
        <v>126</v>
      </c>
      <c r="G49" s="104"/>
      <c r="H49" s="104"/>
      <c r="I49" s="104"/>
      <c r="J49" s="104"/>
      <c r="K49" s="105"/>
      <c r="L49" s="104" t="s">
        <v>127</v>
      </c>
    </row>
    <row r="50" spans="2:12">
      <c r="B50" s="107" t="s">
        <v>255</v>
      </c>
      <c r="C50" s="59"/>
      <c r="D50" s="59"/>
      <c r="E50" s="104" t="s">
        <v>129</v>
      </c>
      <c r="F50" s="104"/>
      <c r="G50" s="105"/>
      <c r="H50" s="104" t="s">
        <v>130</v>
      </c>
      <c r="I50" s="104"/>
      <c r="J50" s="104"/>
      <c r="K50" s="104"/>
      <c r="L50" s="105"/>
    </row>
    <row r="51" spans="2:12">
      <c r="B51" s="107" t="s">
        <v>256</v>
      </c>
      <c r="C51" s="59"/>
      <c r="D51" s="59"/>
      <c r="E51" s="106" t="s">
        <v>132</v>
      </c>
      <c r="F51" s="106"/>
      <c r="G51" s="106"/>
      <c r="H51" s="106"/>
      <c r="I51" s="106"/>
      <c r="J51" s="106"/>
      <c r="K51" s="106"/>
      <c r="L51" s="104" t="s">
        <v>133</v>
      </c>
    </row>
    <row r="52" spans="2:12">
      <c r="B52" s="107" t="s">
        <v>257</v>
      </c>
      <c r="C52" s="59"/>
      <c r="D52" s="59" t="s">
        <v>135</v>
      </c>
      <c r="E52" s="104" t="s">
        <v>136</v>
      </c>
      <c r="F52" s="104"/>
      <c r="G52" s="104"/>
      <c r="H52" s="104"/>
      <c r="I52" s="104"/>
      <c r="J52" s="104"/>
      <c r="K52" s="104"/>
      <c r="L52" s="105"/>
    </row>
    <row r="53" spans="2:12">
      <c r="B53" s="107" t="s">
        <v>258</v>
      </c>
      <c r="C53" s="59"/>
      <c r="D53" s="59"/>
      <c r="E53" s="104" t="s">
        <v>138</v>
      </c>
      <c r="F53" s="104"/>
      <c r="G53" s="104"/>
      <c r="H53" s="104"/>
      <c r="I53" s="104"/>
      <c r="J53" s="104"/>
      <c r="K53" s="104"/>
      <c r="L53" s="105"/>
    </row>
    <row r="54" spans="2:12">
      <c r="B54" s="107" t="s">
        <v>259</v>
      </c>
      <c r="C54" s="59"/>
      <c r="D54" s="59"/>
      <c r="E54" s="104" t="s">
        <v>140</v>
      </c>
      <c r="F54" s="104"/>
      <c r="G54" s="104"/>
      <c r="H54" s="104"/>
      <c r="I54" s="104"/>
      <c r="J54" s="104"/>
      <c r="K54" s="104"/>
      <c r="L54" s="105"/>
    </row>
    <row r="55" spans="2:12">
      <c r="B55" s="107" t="s">
        <v>260</v>
      </c>
      <c r="C55" s="59"/>
      <c r="D55" s="59"/>
      <c r="E55" s="104" t="s">
        <v>142</v>
      </c>
      <c r="F55" s="104"/>
      <c r="G55" s="104"/>
      <c r="H55" s="104"/>
      <c r="I55" s="104"/>
      <c r="J55" s="104"/>
      <c r="K55" s="104"/>
      <c r="L55" s="105"/>
    </row>
    <row r="56" spans="2:12">
      <c r="B56" s="107" t="s">
        <v>261</v>
      </c>
      <c r="C56" s="59"/>
      <c r="D56" s="59"/>
      <c r="E56" s="104" t="s">
        <v>144</v>
      </c>
      <c r="F56" s="104"/>
      <c r="G56" s="104"/>
      <c r="H56" s="104"/>
      <c r="I56" s="104"/>
      <c r="J56" s="104"/>
      <c r="K56" s="104"/>
      <c r="L56" s="105"/>
    </row>
    <row r="57" spans="2:12">
      <c r="B57" s="107" t="s">
        <v>262</v>
      </c>
      <c r="C57" s="59"/>
      <c r="D57" s="59"/>
      <c r="E57" s="104" t="s">
        <v>146</v>
      </c>
      <c r="F57" s="104"/>
      <c r="G57" s="104"/>
      <c r="H57" s="104"/>
      <c r="I57" s="104"/>
      <c r="J57" s="104"/>
      <c r="K57" s="104"/>
      <c r="L57" s="105"/>
    </row>
    <row r="58" spans="2:12">
      <c r="B58" s="107" t="s">
        <v>263</v>
      </c>
      <c r="C58" s="59"/>
      <c r="D58" s="59"/>
      <c r="E58" s="104" t="s">
        <v>148</v>
      </c>
      <c r="F58" s="104"/>
      <c r="G58" s="104"/>
      <c r="H58" s="104"/>
      <c r="I58" s="104"/>
      <c r="J58" s="104"/>
      <c r="K58" s="104"/>
      <c r="L58" s="105"/>
    </row>
    <row r="59" spans="2:12">
      <c r="B59" s="107" t="s">
        <v>264</v>
      </c>
      <c r="C59" s="59"/>
      <c r="D59" s="59"/>
      <c r="E59" s="106" t="s">
        <v>132</v>
      </c>
      <c r="F59" s="106"/>
      <c r="G59" s="106"/>
      <c r="H59" s="106"/>
      <c r="I59" s="106"/>
      <c r="J59" s="106"/>
      <c r="K59" s="106"/>
      <c r="L59" s="104" t="s">
        <v>150</v>
      </c>
    </row>
    <row r="60" spans="2:12">
      <c r="B60" s="107" t="s">
        <v>265</v>
      </c>
      <c r="C60" s="59"/>
      <c r="D60" s="59" t="s">
        <v>152</v>
      </c>
      <c r="E60" s="104" t="s">
        <v>153</v>
      </c>
      <c r="F60" s="104" t="s">
        <v>154</v>
      </c>
      <c r="G60" s="104"/>
      <c r="H60" s="104"/>
      <c r="I60" s="104"/>
      <c r="J60" s="104"/>
      <c r="K60" s="104"/>
      <c r="L60" s="105"/>
    </row>
    <row r="61" spans="2:12">
      <c r="B61" s="107" t="s">
        <v>266</v>
      </c>
      <c r="C61" s="59"/>
      <c r="D61" s="59"/>
      <c r="E61" s="104" t="s">
        <v>156</v>
      </c>
      <c r="F61" s="105"/>
      <c r="G61" s="104" t="s">
        <v>157</v>
      </c>
      <c r="H61" s="105"/>
      <c r="I61" s="104" t="s">
        <v>158</v>
      </c>
      <c r="J61" s="105"/>
      <c r="K61" s="104" t="s">
        <v>51</v>
      </c>
      <c r="L61" s="104" t="s">
        <v>56</v>
      </c>
    </row>
    <row r="62" spans="2:12">
      <c r="B62" s="107" t="s">
        <v>267</v>
      </c>
      <c r="C62" s="59"/>
      <c r="D62" s="59"/>
      <c r="E62" s="104" t="s">
        <v>160</v>
      </c>
      <c r="F62" s="104"/>
      <c r="G62" s="105"/>
      <c r="H62" s="104" t="s">
        <v>161</v>
      </c>
      <c r="I62" s="104"/>
      <c r="J62" s="104"/>
      <c r="K62" s="104"/>
      <c r="L62" s="105"/>
    </row>
    <row r="63" spans="2:12">
      <c r="B63" s="107" t="s">
        <v>268</v>
      </c>
      <c r="C63" s="59"/>
      <c r="D63" s="59"/>
      <c r="E63" s="104" t="s">
        <v>163</v>
      </c>
      <c r="F63" s="104" t="s">
        <v>164</v>
      </c>
      <c r="G63" s="104" t="s">
        <v>165</v>
      </c>
      <c r="H63" s="104" t="s">
        <v>166</v>
      </c>
      <c r="I63" s="104"/>
      <c r="J63" s="104"/>
      <c r="K63" s="104"/>
      <c r="L63" s="105"/>
    </row>
    <row r="64" spans="2:12">
      <c r="B64" s="107" t="s">
        <v>269</v>
      </c>
      <c r="C64" s="59"/>
      <c r="D64" s="59"/>
      <c r="E64" s="104" t="s">
        <v>168</v>
      </c>
      <c r="F64" s="104" t="s">
        <v>169</v>
      </c>
      <c r="G64" s="104" t="s">
        <v>170</v>
      </c>
      <c r="H64" s="104" t="s">
        <v>171</v>
      </c>
      <c r="I64" s="104" t="s">
        <v>172</v>
      </c>
      <c r="J64" s="104" t="s">
        <v>173</v>
      </c>
      <c r="K64" s="104" t="s">
        <v>174</v>
      </c>
      <c r="L64" s="104" t="s">
        <v>175</v>
      </c>
    </row>
    <row r="65" spans="2:12">
      <c r="B65" s="107" t="s">
        <v>270</v>
      </c>
      <c r="C65" s="59"/>
      <c r="D65" s="59"/>
      <c r="E65" s="104" t="s">
        <v>177</v>
      </c>
      <c r="F65" s="105"/>
      <c r="G65" s="104" t="s">
        <v>178</v>
      </c>
      <c r="H65" s="105"/>
      <c r="I65" s="104" t="s">
        <v>179</v>
      </c>
      <c r="J65" s="104" t="s">
        <v>174</v>
      </c>
      <c r="K65" s="104" t="s">
        <v>175</v>
      </c>
      <c r="L65" s="104" t="s">
        <v>163</v>
      </c>
    </row>
    <row r="66" spans="2:12">
      <c r="B66" s="107" t="s">
        <v>271</v>
      </c>
      <c r="C66" s="59"/>
      <c r="D66" s="59"/>
      <c r="E66" s="104" t="s">
        <v>181</v>
      </c>
      <c r="F66" s="105"/>
      <c r="G66" s="104" t="s">
        <v>182</v>
      </c>
      <c r="H66" s="105"/>
      <c r="I66" s="104" t="s">
        <v>183</v>
      </c>
      <c r="J66" s="105"/>
      <c r="K66" s="104" t="s">
        <v>184</v>
      </c>
      <c r="L66" s="105"/>
    </row>
    <row r="67" spans="2:12">
      <c r="B67" s="107" t="s">
        <v>272</v>
      </c>
      <c r="C67" s="59"/>
      <c r="D67" s="59"/>
      <c r="E67" s="106" t="s">
        <v>132</v>
      </c>
      <c r="F67" s="106"/>
      <c r="G67" s="106"/>
      <c r="H67" s="106"/>
      <c r="I67" s="106"/>
      <c r="J67" s="106"/>
      <c r="K67" s="106"/>
      <c r="L67" s="104" t="s">
        <v>186</v>
      </c>
    </row>
    <row r="68" spans="2:12">
      <c r="B68" s="107" t="s">
        <v>273</v>
      </c>
      <c r="C68" s="59"/>
      <c r="D68" s="59" t="s">
        <v>188</v>
      </c>
      <c r="E68" s="104" t="s">
        <v>189</v>
      </c>
      <c r="F68" s="104" t="s">
        <v>190</v>
      </c>
      <c r="G68" s="105"/>
      <c r="H68" s="104" t="s">
        <v>191</v>
      </c>
      <c r="I68" s="105"/>
      <c r="J68" s="104" t="s">
        <v>192</v>
      </c>
      <c r="K68" s="105"/>
      <c r="L68" s="104" t="s">
        <v>193</v>
      </c>
    </row>
    <row r="69" spans="2:12">
      <c r="B69" s="107" t="s">
        <v>274</v>
      </c>
      <c r="C69" s="59"/>
      <c r="D69" s="59"/>
      <c r="E69" s="104" t="s">
        <v>195</v>
      </c>
      <c r="F69" s="104"/>
      <c r="G69" s="105"/>
      <c r="H69" s="104" t="s">
        <v>196</v>
      </c>
      <c r="I69" s="105"/>
      <c r="J69" s="104" t="s">
        <v>197</v>
      </c>
      <c r="K69" s="105"/>
      <c r="L69" s="104" t="s">
        <v>198</v>
      </c>
    </row>
    <row r="70" spans="2:12">
      <c r="B70" s="107" t="s">
        <v>275</v>
      </c>
      <c r="C70" s="59"/>
      <c r="D70" s="59"/>
      <c r="E70" s="104" t="s">
        <v>200</v>
      </c>
      <c r="F70" s="105"/>
      <c r="G70" s="104" t="s">
        <v>201</v>
      </c>
      <c r="H70" s="104"/>
      <c r="I70" s="105"/>
      <c r="J70" s="104" t="s">
        <v>202</v>
      </c>
      <c r="K70" s="104"/>
      <c r="L70" s="105"/>
    </row>
    <row r="71" spans="2:12">
      <c r="B71" s="107" t="s">
        <v>276</v>
      </c>
      <c r="C71" s="59"/>
      <c r="D71" s="59"/>
      <c r="E71" s="104" t="s">
        <v>204</v>
      </c>
      <c r="F71" s="104" t="s">
        <v>205</v>
      </c>
      <c r="G71" s="104"/>
      <c r="H71" s="105"/>
      <c r="I71" s="104" t="s">
        <v>206</v>
      </c>
      <c r="J71" s="104"/>
      <c r="K71" s="105"/>
      <c r="L71" s="104" t="s">
        <v>207</v>
      </c>
    </row>
    <row r="72" spans="2:12">
      <c r="B72" s="107" t="s">
        <v>277</v>
      </c>
      <c r="C72" s="59"/>
      <c r="D72" s="59"/>
      <c r="E72" s="104" t="s">
        <v>209</v>
      </c>
      <c r="F72" s="104"/>
      <c r="G72" s="105"/>
      <c r="H72" s="104" t="s">
        <v>210</v>
      </c>
      <c r="I72" s="104"/>
      <c r="J72" s="105"/>
      <c r="K72" s="104" t="s">
        <v>211</v>
      </c>
      <c r="L72" s="105"/>
    </row>
    <row r="73" spans="2:12">
      <c r="B73" s="107" t="s">
        <v>278</v>
      </c>
      <c r="C73" s="59"/>
      <c r="D73" s="59"/>
      <c r="E73" s="104" t="s">
        <v>213</v>
      </c>
      <c r="F73" s="104"/>
      <c r="G73" s="104"/>
      <c r="H73" s="105"/>
      <c r="I73" s="104" t="s">
        <v>214</v>
      </c>
      <c r="J73" s="105"/>
      <c r="K73" s="104" t="s">
        <v>90</v>
      </c>
      <c r="L73" s="104" t="s">
        <v>215</v>
      </c>
    </row>
    <row r="74" spans="2:12">
      <c r="B74" s="107" t="s">
        <v>279</v>
      </c>
      <c r="C74" s="59"/>
      <c r="D74" s="59"/>
      <c r="E74" s="104" t="s">
        <v>217</v>
      </c>
      <c r="F74" s="104"/>
      <c r="G74" s="104"/>
      <c r="H74" s="105"/>
      <c r="I74" s="104" t="s">
        <v>218</v>
      </c>
      <c r="J74" s="104"/>
      <c r="K74" s="104"/>
      <c r="L74" s="105"/>
    </row>
    <row r="75" spans="2:12">
      <c r="B75" s="107" t="s">
        <v>280</v>
      </c>
      <c r="C75" s="59"/>
      <c r="D75" s="59"/>
      <c r="E75" s="106" t="s">
        <v>132</v>
      </c>
      <c r="F75" s="106"/>
      <c r="G75" s="106"/>
      <c r="H75" s="106"/>
      <c r="I75" s="106"/>
      <c r="J75" s="106"/>
      <c r="K75" s="106"/>
      <c r="L75" s="104" t="s">
        <v>220</v>
      </c>
    </row>
    <row r="76" spans="2:12">
      <c r="B76" s="107" t="s">
        <v>281</v>
      </c>
      <c r="C76" s="59"/>
      <c r="D76" s="59" t="s">
        <v>222</v>
      </c>
      <c r="E76" s="104" t="s">
        <v>223</v>
      </c>
      <c r="F76" s="105"/>
      <c r="G76" s="104" t="s">
        <v>224</v>
      </c>
      <c r="H76" s="104"/>
      <c r="I76" s="104"/>
      <c r="J76" s="104"/>
      <c r="K76" s="104"/>
      <c r="L76" s="105"/>
    </row>
    <row r="77" spans="2:12">
      <c r="B77" s="107" t="s">
        <v>282</v>
      </c>
      <c r="C77" s="59"/>
      <c r="D77" s="59"/>
      <c r="E77" s="104" t="s">
        <v>226</v>
      </c>
      <c r="F77" s="105"/>
      <c r="G77" s="104" t="s">
        <v>227</v>
      </c>
      <c r="H77" s="104"/>
      <c r="I77" s="104"/>
      <c r="J77" s="104"/>
      <c r="K77" s="104"/>
      <c r="L77" s="105"/>
    </row>
    <row r="78" spans="2:12">
      <c r="B78" s="107" t="s">
        <v>283</v>
      </c>
      <c r="C78" s="59"/>
      <c r="D78" s="59"/>
      <c r="E78" s="104" t="s">
        <v>229</v>
      </c>
      <c r="F78" s="105"/>
      <c r="G78" s="104" t="s">
        <v>230</v>
      </c>
      <c r="H78" s="104"/>
      <c r="I78" s="104"/>
      <c r="J78" s="104"/>
      <c r="K78" s="104"/>
      <c r="L78" s="105"/>
    </row>
    <row r="79" spans="2:12">
      <c r="B79" s="107" t="s">
        <v>284</v>
      </c>
      <c r="C79" s="59"/>
      <c r="D79" s="59"/>
      <c r="E79" s="104" t="s">
        <v>232</v>
      </c>
      <c r="F79" s="104"/>
      <c r="G79" s="104"/>
      <c r="H79" s="104"/>
      <c r="I79" s="104"/>
      <c r="J79" s="105"/>
      <c r="K79" s="104" t="s">
        <v>233</v>
      </c>
      <c r="L79" s="105"/>
    </row>
    <row r="80" spans="2:12">
      <c r="B80" s="107" t="s">
        <v>285</v>
      </c>
      <c r="C80" s="59"/>
      <c r="D80" s="59"/>
      <c r="E80" s="104" t="s">
        <v>235</v>
      </c>
      <c r="F80" s="105"/>
      <c r="G80" s="104" t="s">
        <v>236</v>
      </c>
      <c r="H80" s="104"/>
      <c r="I80" s="104"/>
      <c r="J80" s="105"/>
      <c r="K80" s="104" t="s">
        <v>237</v>
      </c>
      <c r="L80" s="105"/>
    </row>
    <row r="81" spans="2:12">
      <c r="B81" s="107" t="s">
        <v>286</v>
      </c>
      <c r="C81" s="59"/>
      <c r="D81" s="59"/>
      <c r="E81" s="104" t="s">
        <v>239</v>
      </c>
      <c r="F81" s="104" t="s">
        <v>240</v>
      </c>
      <c r="G81" s="104" t="s">
        <v>241</v>
      </c>
      <c r="H81" s="104"/>
      <c r="I81" s="104"/>
      <c r="J81" s="105"/>
      <c r="K81" s="104" t="s">
        <v>242</v>
      </c>
      <c r="L81" s="105"/>
    </row>
    <row r="82" spans="2:12">
      <c r="B82" s="107" t="s">
        <v>287</v>
      </c>
      <c r="C82" s="59"/>
      <c r="D82" s="59"/>
      <c r="E82" s="104" t="s">
        <v>244</v>
      </c>
      <c r="F82" s="104"/>
      <c r="G82" s="104"/>
      <c r="H82" s="104"/>
      <c r="I82" s="104"/>
      <c r="J82" s="104"/>
      <c r="K82" s="105"/>
      <c r="L82" s="104" t="s">
        <v>245</v>
      </c>
    </row>
    <row r="83" spans="2:12">
      <c r="B83" s="107" t="s">
        <v>288</v>
      </c>
      <c r="C83" s="59"/>
      <c r="D83" s="59"/>
      <c r="E83" s="106" t="s">
        <v>132</v>
      </c>
      <c r="F83" s="106"/>
      <c r="G83" s="106"/>
      <c r="H83" s="106"/>
      <c r="I83" s="106"/>
      <c r="J83" s="106"/>
      <c r="K83" s="106"/>
      <c r="L83" s="104" t="s">
        <v>247</v>
      </c>
    </row>
    <row r="84" spans="2:12">
      <c r="B84" s="108" t="s">
        <v>289</v>
      </c>
      <c r="C84" s="59" t="s">
        <v>290</v>
      </c>
      <c r="D84" s="59" t="s">
        <v>108</v>
      </c>
      <c r="E84" s="104" t="s">
        <v>109</v>
      </c>
      <c r="F84" s="104"/>
      <c r="G84" s="104"/>
      <c r="H84" s="105"/>
      <c r="I84" s="104" t="s">
        <v>110</v>
      </c>
      <c r="J84" s="104"/>
      <c r="K84" s="104"/>
      <c r="L84" s="105"/>
    </row>
    <row r="85" spans="2:12">
      <c r="B85" s="108" t="s">
        <v>291</v>
      </c>
      <c r="C85" s="59"/>
      <c r="D85" s="59"/>
      <c r="E85" s="104" t="s">
        <v>112</v>
      </c>
      <c r="F85" s="104"/>
      <c r="G85" s="104"/>
      <c r="H85" s="104"/>
      <c r="I85" s="105"/>
      <c r="J85" s="104" t="s">
        <v>113</v>
      </c>
      <c r="K85" s="104"/>
      <c r="L85" s="105"/>
    </row>
    <row r="86" spans="2:12">
      <c r="B86" s="108" t="s">
        <v>292</v>
      </c>
      <c r="C86" s="59"/>
      <c r="D86" s="59"/>
      <c r="E86" s="104" t="s">
        <v>115</v>
      </c>
      <c r="F86" s="104" t="s">
        <v>116</v>
      </c>
      <c r="G86" s="104"/>
      <c r="H86" s="104"/>
      <c r="I86" s="104"/>
      <c r="J86" s="104"/>
      <c r="K86" s="105"/>
      <c r="L86" s="104" t="s">
        <v>117</v>
      </c>
    </row>
    <row r="87" spans="2:12">
      <c r="B87" s="108" t="s">
        <v>293</v>
      </c>
      <c r="C87" s="59"/>
      <c r="D87" s="59"/>
      <c r="E87" s="104" t="s">
        <v>119</v>
      </c>
      <c r="F87" s="104"/>
      <c r="G87" s="105"/>
      <c r="H87" s="104" t="s">
        <v>120</v>
      </c>
      <c r="I87" s="104"/>
      <c r="J87" s="104"/>
      <c r="K87" s="104"/>
      <c r="L87" s="105"/>
    </row>
    <row r="88" spans="2:12">
      <c r="B88" s="108" t="s">
        <v>294</v>
      </c>
      <c r="C88" s="59"/>
      <c r="D88" s="59"/>
      <c r="E88" s="104" t="s">
        <v>122</v>
      </c>
      <c r="F88" s="104"/>
      <c r="G88" s="105"/>
      <c r="H88" s="104" t="s">
        <v>123</v>
      </c>
      <c r="I88" s="104"/>
      <c r="J88" s="104"/>
      <c r="K88" s="104"/>
      <c r="L88" s="105"/>
    </row>
    <row r="89" spans="2:12">
      <c r="B89" s="108" t="s">
        <v>295</v>
      </c>
      <c r="C89" s="59"/>
      <c r="D89" s="59"/>
      <c r="E89" s="104" t="s">
        <v>125</v>
      </c>
      <c r="F89" s="104" t="s">
        <v>126</v>
      </c>
      <c r="G89" s="104"/>
      <c r="H89" s="104"/>
      <c r="I89" s="104"/>
      <c r="J89" s="104"/>
      <c r="K89" s="105"/>
      <c r="L89" s="104" t="s">
        <v>127</v>
      </c>
    </row>
    <row r="90" spans="2:12">
      <c r="B90" s="108" t="s">
        <v>296</v>
      </c>
      <c r="C90" s="59"/>
      <c r="D90" s="59"/>
      <c r="E90" s="104" t="s">
        <v>129</v>
      </c>
      <c r="F90" s="104"/>
      <c r="G90" s="105"/>
      <c r="H90" s="104" t="s">
        <v>130</v>
      </c>
      <c r="I90" s="104"/>
      <c r="J90" s="104"/>
      <c r="K90" s="104"/>
      <c r="L90" s="105"/>
    </row>
    <row r="91" spans="2:12">
      <c r="B91" s="108" t="s">
        <v>297</v>
      </c>
      <c r="C91" s="59"/>
      <c r="D91" s="59"/>
      <c r="E91" s="106" t="s">
        <v>132</v>
      </c>
      <c r="F91" s="106"/>
      <c r="G91" s="106"/>
      <c r="H91" s="106"/>
      <c r="I91" s="106"/>
      <c r="J91" s="106"/>
      <c r="K91" s="106"/>
      <c r="L91" s="104" t="s">
        <v>133</v>
      </c>
    </row>
    <row r="92" spans="2:12">
      <c r="B92" s="108" t="s">
        <v>298</v>
      </c>
      <c r="C92" s="59"/>
      <c r="D92" s="59" t="s">
        <v>135</v>
      </c>
      <c r="E92" s="104" t="s">
        <v>136</v>
      </c>
      <c r="F92" s="104"/>
      <c r="G92" s="104"/>
      <c r="H92" s="104"/>
      <c r="I92" s="104"/>
      <c r="J92" s="104"/>
      <c r="K92" s="104"/>
      <c r="L92" s="105"/>
    </row>
    <row r="93" spans="2:12">
      <c r="B93" s="108" t="s">
        <v>299</v>
      </c>
      <c r="C93" s="59"/>
      <c r="D93" s="59"/>
      <c r="E93" s="104" t="s">
        <v>138</v>
      </c>
      <c r="F93" s="104"/>
      <c r="G93" s="104"/>
      <c r="H93" s="104"/>
      <c r="I93" s="104"/>
      <c r="J93" s="104"/>
      <c r="K93" s="104"/>
      <c r="L93" s="105"/>
    </row>
    <row r="94" spans="2:12">
      <c r="B94" s="108" t="s">
        <v>300</v>
      </c>
      <c r="C94" s="59"/>
      <c r="D94" s="59"/>
      <c r="E94" s="104" t="s">
        <v>140</v>
      </c>
      <c r="F94" s="104"/>
      <c r="G94" s="104"/>
      <c r="H94" s="104"/>
      <c r="I94" s="104"/>
      <c r="J94" s="104"/>
      <c r="K94" s="104"/>
      <c r="L94" s="105"/>
    </row>
    <row r="95" spans="2:12">
      <c r="B95" s="108" t="s">
        <v>301</v>
      </c>
      <c r="C95" s="59"/>
      <c r="D95" s="59"/>
      <c r="E95" s="104" t="s">
        <v>142</v>
      </c>
      <c r="F95" s="104"/>
      <c r="G95" s="104"/>
      <c r="H95" s="104"/>
      <c r="I95" s="104"/>
      <c r="J95" s="104"/>
      <c r="K95" s="104"/>
      <c r="L95" s="105"/>
    </row>
    <row r="96" spans="2:12">
      <c r="B96" s="108" t="s">
        <v>302</v>
      </c>
      <c r="C96" s="59"/>
      <c r="D96" s="59"/>
      <c r="E96" s="104" t="s">
        <v>144</v>
      </c>
      <c r="F96" s="104"/>
      <c r="G96" s="104"/>
      <c r="H96" s="104"/>
      <c r="I96" s="104"/>
      <c r="J96" s="104"/>
      <c r="K96" s="104"/>
      <c r="L96" s="105"/>
    </row>
    <row r="97" spans="2:12">
      <c r="B97" s="108" t="s">
        <v>303</v>
      </c>
      <c r="C97" s="59"/>
      <c r="D97" s="59"/>
      <c r="E97" s="104" t="s">
        <v>146</v>
      </c>
      <c r="F97" s="104"/>
      <c r="G97" s="104"/>
      <c r="H97" s="104"/>
      <c r="I97" s="104"/>
      <c r="J97" s="104"/>
      <c r="K97" s="104"/>
      <c r="L97" s="105"/>
    </row>
    <row r="98" spans="2:12">
      <c r="B98" s="108" t="s">
        <v>304</v>
      </c>
      <c r="C98" s="59"/>
      <c r="D98" s="59"/>
      <c r="E98" s="104" t="s">
        <v>148</v>
      </c>
      <c r="F98" s="104"/>
      <c r="G98" s="104"/>
      <c r="H98" s="104"/>
      <c r="I98" s="104"/>
      <c r="J98" s="104"/>
      <c r="K98" s="104"/>
      <c r="L98" s="105"/>
    </row>
    <row r="99" spans="2:12">
      <c r="B99" s="108" t="s">
        <v>305</v>
      </c>
      <c r="C99" s="59"/>
      <c r="D99" s="59"/>
      <c r="E99" s="106" t="s">
        <v>132</v>
      </c>
      <c r="F99" s="106"/>
      <c r="G99" s="106"/>
      <c r="H99" s="106"/>
      <c r="I99" s="106"/>
      <c r="J99" s="106"/>
      <c r="K99" s="106"/>
      <c r="L99" s="104" t="s">
        <v>150</v>
      </c>
    </row>
    <row r="100" spans="2:12">
      <c r="B100" s="108" t="s">
        <v>306</v>
      </c>
      <c r="C100" s="59"/>
      <c r="D100" s="59" t="s">
        <v>152</v>
      </c>
      <c r="E100" s="104" t="s">
        <v>153</v>
      </c>
      <c r="F100" s="104" t="s">
        <v>154</v>
      </c>
      <c r="G100" s="104"/>
      <c r="H100" s="104"/>
      <c r="I100" s="104"/>
      <c r="J100" s="104"/>
      <c r="K100" s="104"/>
      <c r="L100" s="105"/>
    </row>
    <row r="101" spans="2:12">
      <c r="B101" s="108" t="s">
        <v>307</v>
      </c>
      <c r="C101" s="59"/>
      <c r="D101" s="59"/>
      <c r="E101" s="104" t="s">
        <v>156</v>
      </c>
      <c r="F101" s="105"/>
      <c r="G101" s="104" t="s">
        <v>157</v>
      </c>
      <c r="H101" s="105"/>
      <c r="I101" s="104" t="s">
        <v>158</v>
      </c>
      <c r="J101" s="105"/>
      <c r="K101" s="104" t="s">
        <v>51</v>
      </c>
      <c r="L101" s="104" t="s">
        <v>56</v>
      </c>
    </row>
    <row r="102" spans="2:12">
      <c r="B102" s="108" t="s">
        <v>308</v>
      </c>
      <c r="C102" s="59"/>
      <c r="D102" s="59"/>
      <c r="E102" s="104" t="s">
        <v>160</v>
      </c>
      <c r="F102" s="104"/>
      <c r="G102" s="105"/>
      <c r="H102" s="104" t="s">
        <v>161</v>
      </c>
      <c r="I102" s="104"/>
      <c r="J102" s="104"/>
      <c r="K102" s="104"/>
      <c r="L102" s="105"/>
    </row>
    <row r="103" spans="2:12">
      <c r="B103" s="108" t="s">
        <v>309</v>
      </c>
      <c r="C103" s="59"/>
      <c r="D103" s="59"/>
      <c r="E103" s="104" t="s">
        <v>163</v>
      </c>
      <c r="F103" s="104" t="s">
        <v>164</v>
      </c>
      <c r="G103" s="104" t="s">
        <v>165</v>
      </c>
      <c r="H103" s="104" t="s">
        <v>166</v>
      </c>
      <c r="I103" s="104"/>
      <c r="J103" s="104"/>
      <c r="K103" s="104"/>
      <c r="L103" s="105"/>
    </row>
    <row r="104" spans="2:12">
      <c r="B104" s="108" t="s">
        <v>310</v>
      </c>
      <c r="C104" s="59"/>
      <c r="D104" s="59"/>
      <c r="E104" s="104" t="s">
        <v>168</v>
      </c>
      <c r="F104" s="104" t="s">
        <v>169</v>
      </c>
      <c r="G104" s="104" t="s">
        <v>170</v>
      </c>
      <c r="H104" s="104" t="s">
        <v>171</v>
      </c>
      <c r="I104" s="104" t="s">
        <v>172</v>
      </c>
      <c r="J104" s="104" t="s">
        <v>173</v>
      </c>
      <c r="K104" s="104" t="s">
        <v>174</v>
      </c>
      <c r="L104" s="104" t="s">
        <v>175</v>
      </c>
    </row>
    <row r="105" spans="2:12">
      <c r="B105" s="108" t="s">
        <v>311</v>
      </c>
      <c r="C105" s="59"/>
      <c r="D105" s="59"/>
      <c r="E105" s="104" t="s">
        <v>177</v>
      </c>
      <c r="F105" s="105"/>
      <c r="G105" s="104" t="s">
        <v>178</v>
      </c>
      <c r="H105" s="105"/>
      <c r="I105" s="104" t="s">
        <v>179</v>
      </c>
      <c r="J105" s="104" t="s">
        <v>174</v>
      </c>
      <c r="K105" s="104" t="s">
        <v>175</v>
      </c>
      <c r="L105" s="104" t="s">
        <v>163</v>
      </c>
    </row>
    <row r="106" spans="2:12">
      <c r="B106" s="108" t="s">
        <v>312</v>
      </c>
      <c r="C106" s="59"/>
      <c r="D106" s="59"/>
      <c r="E106" s="104" t="s">
        <v>181</v>
      </c>
      <c r="F106" s="105"/>
      <c r="G106" s="104" t="s">
        <v>182</v>
      </c>
      <c r="H106" s="105"/>
      <c r="I106" s="104" t="s">
        <v>183</v>
      </c>
      <c r="J106" s="105"/>
      <c r="K106" s="104" t="s">
        <v>184</v>
      </c>
      <c r="L106" s="105"/>
    </row>
    <row r="107" spans="2:12">
      <c r="B107" s="108" t="s">
        <v>313</v>
      </c>
      <c r="C107" s="59"/>
      <c r="D107" s="59"/>
      <c r="E107" s="106" t="s">
        <v>132</v>
      </c>
      <c r="F107" s="106"/>
      <c r="G107" s="106"/>
      <c r="H107" s="106"/>
      <c r="I107" s="106"/>
      <c r="J107" s="106"/>
      <c r="K107" s="106"/>
      <c r="L107" s="104" t="s">
        <v>186</v>
      </c>
    </row>
    <row r="108" spans="2:12">
      <c r="B108" s="108" t="s">
        <v>314</v>
      </c>
      <c r="C108" s="59"/>
      <c r="D108" s="59" t="s">
        <v>188</v>
      </c>
      <c r="E108" s="104" t="s">
        <v>189</v>
      </c>
      <c r="F108" s="104" t="s">
        <v>190</v>
      </c>
      <c r="G108" s="105"/>
      <c r="H108" s="104" t="s">
        <v>191</v>
      </c>
      <c r="I108" s="105"/>
      <c r="J108" s="104" t="s">
        <v>192</v>
      </c>
      <c r="K108" s="105"/>
      <c r="L108" s="104" t="s">
        <v>193</v>
      </c>
    </row>
    <row r="109" spans="2:12">
      <c r="B109" s="108" t="s">
        <v>315</v>
      </c>
      <c r="C109" s="59"/>
      <c r="D109" s="59"/>
      <c r="E109" s="104" t="s">
        <v>195</v>
      </c>
      <c r="F109" s="104"/>
      <c r="G109" s="105"/>
      <c r="H109" s="104" t="s">
        <v>196</v>
      </c>
      <c r="I109" s="105"/>
      <c r="J109" s="104" t="s">
        <v>197</v>
      </c>
      <c r="K109" s="105"/>
      <c r="L109" s="104" t="s">
        <v>198</v>
      </c>
    </row>
    <row r="110" spans="2:12">
      <c r="B110" s="108" t="s">
        <v>316</v>
      </c>
      <c r="C110" s="59"/>
      <c r="D110" s="59"/>
      <c r="E110" s="104" t="s">
        <v>200</v>
      </c>
      <c r="F110" s="105"/>
      <c r="G110" s="104" t="s">
        <v>201</v>
      </c>
      <c r="H110" s="104"/>
      <c r="I110" s="105"/>
      <c r="J110" s="104" t="s">
        <v>202</v>
      </c>
      <c r="K110" s="104"/>
      <c r="L110" s="105"/>
    </row>
    <row r="111" spans="2:12">
      <c r="B111" s="108" t="s">
        <v>317</v>
      </c>
      <c r="C111" s="59"/>
      <c r="D111" s="59"/>
      <c r="E111" s="104" t="s">
        <v>204</v>
      </c>
      <c r="F111" s="104" t="s">
        <v>205</v>
      </c>
      <c r="G111" s="104"/>
      <c r="H111" s="105"/>
      <c r="I111" s="104" t="s">
        <v>206</v>
      </c>
      <c r="J111" s="104"/>
      <c r="K111" s="105"/>
      <c r="L111" s="104" t="s">
        <v>207</v>
      </c>
    </row>
    <row r="112" spans="2:12">
      <c r="B112" s="108" t="s">
        <v>318</v>
      </c>
      <c r="C112" s="59"/>
      <c r="D112" s="59"/>
      <c r="E112" s="104" t="s">
        <v>209</v>
      </c>
      <c r="F112" s="104"/>
      <c r="G112" s="105"/>
      <c r="H112" s="104" t="s">
        <v>210</v>
      </c>
      <c r="I112" s="104"/>
      <c r="J112" s="105"/>
      <c r="K112" s="104" t="s">
        <v>211</v>
      </c>
      <c r="L112" s="105"/>
    </row>
    <row r="113" spans="2:12">
      <c r="B113" s="108" t="s">
        <v>319</v>
      </c>
      <c r="C113" s="59"/>
      <c r="D113" s="59"/>
      <c r="E113" s="104" t="s">
        <v>213</v>
      </c>
      <c r="F113" s="104"/>
      <c r="G113" s="104"/>
      <c r="H113" s="105"/>
      <c r="I113" s="104" t="s">
        <v>214</v>
      </c>
      <c r="J113" s="105"/>
      <c r="K113" s="104" t="s">
        <v>90</v>
      </c>
      <c r="L113" s="104" t="s">
        <v>215</v>
      </c>
    </row>
    <row r="114" spans="2:12">
      <c r="B114" s="108" t="s">
        <v>320</v>
      </c>
      <c r="C114" s="59"/>
      <c r="D114" s="59"/>
      <c r="E114" s="104" t="s">
        <v>217</v>
      </c>
      <c r="F114" s="104"/>
      <c r="G114" s="104"/>
      <c r="H114" s="105"/>
      <c r="I114" s="104" t="s">
        <v>218</v>
      </c>
      <c r="J114" s="104"/>
      <c r="K114" s="104"/>
      <c r="L114" s="105"/>
    </row>
    <row r="115" spans="2:12">
      <c r="B115" s="108" t="s">
        <v>321</v>
      </c>
      <c r="C115" s="59"/>
      <c r="D115" s="59"/>
      <c r="E115" s="106" t="s">
        <v>132</v>
      </c>
      <c r="F115" s="106"/>
      <c r="G115" s="106"/>
      <c r="H115" s="106"/>
      <c r="I115" s="106"/>
      <c r="J115" s="106"/>
      <c r="K115" s="106"/>
      <c r="L115" s="104" t="s">
        <v>220</v>
      </c>
    </row>
    <row r="116" spans="2:12">
      <c r="B116" s="108" t="s">
        <v>322</v>
      </c>
      <c r="C116" s="59"/>
      <c r="D116" s="59" t="s">
        <v>222</v>
      </c>
      <c r="E116" s="104" t="s">
        <v>223</v>
      </c>
      <c r="F116" s="105"/>
      <c r="G116" s="104" t="s">
        <v>224</v>
      </c>
      <c r="H116" s="104"/>
      <c r="I116" s="104"/>
      <c r="J116" s="104"/>
      <c r="K116" s="104"/>
      <c r="L116" s="105"/>
    </row>
    <row r="117" spans="2:12">
      <c r="B117" s="108" t="s">
        <v>323</v>
      </c>
      <c r="C117" s="59"/>
      <c r="D117" s="59"/>
      <c r="E117" s="104" t="s">
        <v>226</v>
      </c>
      <c r="F117" s="105"/>
      <c r="G117" s="104" t="s">
        <v>227</v>
      </c>
      <c r="H117" s="104"/>
      <c r="I117" s="104"/>
      <c r="J117" s="104"/>
      <c r="K117" s="104"/>
      <c r="L117" s="105"/>
    </row>
    <row r="118" spans="2:12">
      <c r="B118" s="108" t="s">
        <v>324</v>
      </c>
      <c r="C118" s="59"/>
      <c r="D118" s="59"/>
      <c r="E118" s="104" t="s">
        <v>229</v>
      </c>
      <c r="F118" s="105"/>
      <c r="G118" s="104" t="s">
        <v>230</v>
      </c>
      <c r="H118" s="104"/>
      <c r="I118" s="104"/>
      <c r="J118" s="104"/>
      <c r="K118" s="104"/>
      <c r="L118" s="105"/>
    </row>
    <row r="119" spans="2:12">
      <c r="B119" s="108" t="s">
        <v>325</v>
      </c>
      <c r="C119" s="59"/>
      <c r="D119" s="59"/>
      <c r="E119" s="104" t="s">
        <v>232</v>
      </c>
      <c r="F119" s="104"/>
      <c r="G119" s="104"/>
      <c r="H119" s="104"/>
      <c r="I119" s="104"/>
      <c r="J119" s="105"/>
      <c r="K119" s="104" t="s">
        <v>233</v>
      </c>
      <c r="L119" s="105"/>
    </row>
    <row r="120" spans="2:12">
      <c r="B120" s="108" t="s">
        <v>326</v>
      </c>
      <c r="C120" s="59"/>
      <c r="D120" s="59"/>
      <c r="E120" s="104" t="s">
        <v>235</v>
      </c>
      <c r="F120" s="105"/>
      <c r="G120" s="104" t="s">
        <v>236</v>
      </c>
      <c r="H120" s="104"/>
      <c r="I120" s="104"/>
      <c r="J120" s="105"/>
      <c r="K120" s="104" t="s">
        <v>237</v>
      </c>
      <c r="L120" s="105"/>
    </row>
    <row r="121" spans="2:12">
      <c r="B121" s="108" t="s">
        <v>327</v>
      </c>
      <c r="C121" s="59"/>
      <c r="D121" s="59"/>
      <c r="E121" s="104" t="s">
        <v>239</v>
      </c>
      <c r="F121" s="104" t="s">
        <v>240</v>
      </c>
      <c r="G121" s="104" t="s">
        <v>241</v>
      </c>
      <c r="H121" s="104"/>
      <c r="I121" s="104"/>
      <c r="J121" s="105"/>
      <c r="K121" s="104" t="s">
        <v>242</v>
      </c>
      <c r="L121" s="105"/>
    </row>
    <row r="122" spans="2:12">
      <c r="B122" s="108" t="s">
        <v>328</v>
      </c>
      <c r="C122" s="59"/>
      <c r="D122" s="59"/>
      <c r="E122" s="104" t="s">
        <v>244</v>
      </c>
      <c r="F122" s="104"/>
      <c r="G122" s="104"/>
      <c r="H122" s="104"/>
      <c r="I122" s="104"/>
      <c r="J122" s="104"/>
      <c r="K122" s="105"/>
      <c r="L122" s="104" t="s">
        <v>245</v>
      </c>
    </row>
    <row r="123" spans="2:12">
      <c r="B123" s="108" t="s">
        <v>329</v>
      </c>
      <c r="C123" s="59"/>
      <c r="D123" s="59"/>
      <c r="E123" s="106" t="s">
        <v>132</v>
      </c>
      <c r="F123" s="106"/>
      <c r="G123" s="106"/>
      <c r="H123" s="106"/>
      <c r="I123" s="106"/>
      <c r="J123" s="106"/>
      <c r="K123" s="106"/>
      <c r="L123" s="104" t="s">
        <v>247</v>
      </c>
    </row>
    <row r="124" spans="2:12">
      <c r="B124" s="108" t="s">
        <v>330</v>
      </c>
      <c r="C124" s="59" t="s">
        <v>6</v>
      </c>
      <c r="D124" s="59" t="s">
        <v>108</v>
      </c>
      <c r="E124" s="105"/>
      <c r="F124" s="105"/>
      <c r="G124" s="105"/>
      <c r="H124" s="105"/>
      <c r="I124" s="105"/>
      <c r="J124" s="105"/>
      <c r="K124" s="105"/>
      <c r="L124" s="105"/>
    </row>
    <row r="125" spans="2:12">
      <c r="B125" s="108" t="s">
        <v>331</v>
      </c>
      <c r="C125" s="59"/>
      <c r="D125" s="59"/>
      <c r="E125" s="105"/>
      <c r="F125" s="105"/>
      <c r="G125" s="105"/>
      <c r="H125" s="105"/>
      <c r="I125" s="105"/>
      <c r="J125" s="105"/>
      <c r="K125" s="105"/>
      <c r="L125" s="105"/>
    </row>
    <row r="126" spans="2:12">
      <c r="B126" s="108" t="s">
        <v>332</v>
      </c>
      <c r="C126" s="59"/>
      <c r="D126" s="59"/>
      <c r="E126" s="105"/>
      <c r="F126" s="105"/>
      <c r="G126" s="105"/>
      <c r="H126" s="105"/>
      <c r="I126" s="105"/>
      <c r="J126" s="105"/>
      <c r="K126" s="105"/>
      <c r="L126" s="105"/>
    </row>
    <row r="127" spans="2:12">
      <c r="B127" s="108" t="s">
        <v>333</v>
      </c>
      <c r="C127" s="59"/>
      <c r="D127" s="59"/>
      <c r="E127" s="105"/>
      <c r="F127" s="105"/>
      <c r="G127" s="105"/>
      <c r="H127" s="105"/>
      <c r="I127" s="105"/>
      <c r="J127" s="105"/>
      <c r="K127" s="105"/>
      <c r="L127" s="105"/>
    </row>
    <row r="128" spans="2:12">
      <c r="B128" s="108" t="s">
        <v>334</v>
      </c>
      <c r="C128" s="59"/>
      <c r="D128" s="59"/>
      <c r="E128" s="105"/>
      <c r="F128" s="105"/>
      <c r="G128" s="105"/>
      <c r="H128" s="105"/>
      <c r="I128" s="105"/>
      <c r="J128" s="105"/>
      <c r="K128" s="105"/>
      <c r="L128" s="105"/>
    </row>
    <row r="129" spans="2:12">
      <c r="B129" s="108" t="s">
        <v>335</v>
      </c>
      <c r="C129" s="59"/>
      <c r="D129" s="59"/>
      <c r="E129" s="105"/>
      <c r="F129" s="105"/>
      <c r="G129" s="105"/>
      <c r="H129" s="105"/>
      <c r="I129" s="105"/>
      <c r="J129" s="105"/>
      <c r="K129" s="105"/>
      <c r="L129" s="105"/>
    </row>
    <row r="130" spans="2:12">
      <c r="B130" s="108" t="s">
        <v>336</v>
      </c>
      <c r="C130" s="59"/>
      <c r="D130" s="59"/>
      <c r="E130" s="105"/>
      <c r="F130" s="105"/>
      <c r="G130" s="105"/>
      <c r="H130" s="105"/>
      <c r="I130" s="105"/>
      <c r="J130" s="105"/>
      <c r="K130" s="105"/>
      <c r="L130" s="105"/>
    </row>
    <row r="131" spans="2:12">
      <c r="B131" s="108" t="s">
        <v>337</v>
      </c>
      <c r="C131" s="59"/>
      <c r="D131" s="59"/>
      <c r="E131" s="106" t="s">
        <v>132</v>
      </c>
      <c r="F131" s="106"/>
      <c r="G131" s="106"/>
      <c r="H131" s="106"/>
      <c r="I131" s="106"/>
      <c r="J131" s="106"/>
      <c r="K131" s="106"/>
      <c r="L131" s="105"/>
    </row>
  </sheetData>
  <mergeCells count="229">
    <mergeCell ref="B1:L1"/>
    <mergeCell ref="E4:H4"/>
    <mergeCell ref="I4:L4"/>
    <mergeCell ref="E5:I5"/>
    <mergeCell ref="J5:L5"/>
    <mergeCell ref="F6:K6"/>
    <mergeCell ref="E7:G7"/>
    <mergeCell ref="H7:L7"/>
    <mergeCell ref="E8:G8"/>
    <mergeCell ref="H8:L8"/>
    <mergeCell ref="F9:K9"/>
    <mergeCell ref="E10:G10"/>
    <mergeCell ref="H10:L10"/>
    <mergeCell ref="E11:K11"/>
    <mergeCell ref="E12:L12"/>
    <mergeCell ref="E13:L13"/>
    <mergeCell ref="E14:L14"/>
    <mergeCell ref="E15:L15"/>
    <mergeCell ref="E16:L16"/>
    <mergeCell ref="E17:L17"/>
    <mergeCell ref="E18:L18"/>
    <mergeCell ref="E19:K19"/>
    <mergeCell ref="F20:L20"/>
    <mergeCell ref="E21:F21"/>
    <mergeCell ref="G21:H21"/>
    <mergeCell ref="I21:J21"/>
    <mergeCell ref="E22:G22"/>
    <mergeCell ref="H22:L22"/>
    <mergeCell ref="H23:L23"/>
    <mergeCell ref="E25:F25"/>
    <mergeCell ref="G25:H25"/>
    <mergeCell ref="E26:F26"/>
    <mergeCell ref="G26:H26"/>
    <mergeCell ref="I26:J26"/>
    <mergeCell ref="K26:L26"/>
    <mergeCell ref="E27:K27"/>
    <mergeCell ref="F28:G28"/>
    <mergeCell ref="H28:I28"/>
    <mergeCell ref="J28:K28"/>
    <mergeCell ref="E29:G29"/>
    <mergeCell ref="H29:I29"/>
    <mergeCell ref="J29:K29"/>
    <mergeCell ref="E30:F30"/>
    <mergeCell ref="G30:I30"/>
    <mergeCell ref="J30:L30"/>
    <mergeCell ref="F31:H31"/>
    <mergeCell ref="I31:K31"/>
    <mergeCell ref="E32:G32"/>
    <mergeCell ref="H32:J32"/>
    <mergeCell ref="K32:L32"/>
    <mergeCell ref="E33:H33"/>
    <mergeCell ref="I33:J33"/>
    <mergeCell ref="E34:H34"/>
    <mergeCell ref="I34:L34"/>
    <mergeCell ref="E35:K35"/>
    <mergeCell ref="E36:F36"/>
    <mergeCell ref="G36:L36"/>
    <mergeCell ref="E37:F37"/>
    <mergeCell ref="G37:L37"/>
    <mergeCell ref="E38:F38"/>
    <mergeCell ref="G38:L38"/>
    <mergeCell ref="E39:J39"/>
    <mergeCell ref="K39:L39"/>
    <mergeCell ref="E40:F40"/>
    <mergeCell ref="G40:J40"/>
    <mergeCell ref="K40:L40"/>
    <mergeCell ref="G41:J41"/>
    <mergeCell ref="K41:L41"/>
    <mergeCell ref="E42:K42"/>
    <mergeCell ref="E43:K43"/>
    <mergeCell ref="E44:H44"/>
    <mergeCell ref="I44:L44"/>
    <mergeCell ref="E45:I45"/>
    <mergeCell ref="J45:L45"/>
    <mergeCell ref="F46:K46"/>
    <mergeCell ref="E47:G47"/>
    <mergeCell ref="H47:L47"/>
    <mergeCell ref="E48:G48"/>
    <mergeCell ref="H48:L48"/>
    <mergeCell ref="F49:K49"/>
    <mergeCell ref="E50:G50"/>
    <mergeCell ref="H50:L50"/>
    <mergeCell ref="E51:K51"/>
    <mergeCell ref="E52:L52"/>
    <mergeCell ref="E53:L53"/>
    <mergeCell ref="E54:L54"/>
    <mergeCell ref="E55:L55"/>
    <mergeCell ref="E56:L56"/>
    <mergeCell ref="E57:L57"/>
    <mergeCell ref="E58:L58"/>
    <mergeCell ref="E59:K59"/>
    <mergeCell ref="F60:L60"/>
    <mergeCell ref="E61:F61"/>
    <mergeCell ref="G61:H61"/>
    <mergeCell ref="I61:J61"/>
    <mergeCell ref="E62:G62"/>
    <mergeCell ref="H62:L62"/>
    <mergeCell ref="H63:L63"/>
    <mergeCell ref="E65:F65"/>
    <mergeCell ref="G65:H65"/>
    <mergeCell ref="E66:F66"/>
    <mergeCell ref="G66:H66"/>
    <mergeCell ref="I66:J66"/>
    <mergeCell ref="K66:L66"/>
    <mergeCell ref="E67:K67"/>
    <mergeCell ref="F68:G68"/>
    <mergeCell ref="H68:I68"/>
    <mergeCell ref="J68:K68"/>
    <mergeCell ref="E69:G69"/>
    <mergeCell ref="H69:I69"/>
    <mergeCell ref="J69:K69"/>
    <mergeCell ref="E70:F70"/>
    <mergeCell ref="G70:I70"/>
    <mergeCell ref="J70:L70"/>
    <mergeCell ref="F71:H71"/>
    <mergeCell ref="I71:K71"/>
    <mergeCell ref="E72:G72"/>
    <mergeCell ref="H72:J72"/>
    <mergeCell ref="K72:L72"/>
    <mergeCell ref="E73:H73"/>
    <mergeCell ref="I73:J73"/>
    <mergeCell ref="E74:H74"/>
    <mergeCell ref="I74:L74"/>
    <mergeCell ref="E75:K75"/>
    <mergeCell ref="E76:F76"/>
    <mergeCell ref="G76:L76"/>
    <mergeCell ref="E77:F77"/>
    <mergeCell ref="G77:L77"/>
    <mergeCell ref="E78:F78"/>
    <mergeCell ref="G78:L78"/>
    <mergeCell ref="E79:J79"/>
    <mergeCell ref="K79:L79"/>
    <mergeCell ref="E80:F80"/>
    <mergeCell ref="G80:J80"/>
    <mergeCell ref="K80:L80"/>
    <mergeCell ref="G81:J81"/>
    <mergeCell ref="K81:L81"/>
    <mergeCell ref="E82:K82"/>
    <mergeCell ref="E83:K83"/>
    <mergeCell ref="E84:H84"/>
    <mergeCell ref="I84:L84"/>
    <mergeCell ref="E85:I85"/>
    <mergeCell ref="J85:L85"/>
    <mergeCell ref="F86:K86"/>
    <mergeCell ref="E87:G87"/>
    <mergeCell ref="H87:L87"/>
    <mergeCell ref="E88:G88"/>
    <mergeCell ref="H88:L88"/>
    <mergeCell ref="F89:K89"/>
    <mergeCell ref="E90:G90"/>
    <mergeCell ref="H90:L90"/>
    <mergeCell ref="E91:K91"/>
    <mergeCell ref="E92:L92"/>
    <mergeCell ref="E93:L93"/>
    <mergeCell ref="E94:L94"/>
    <mergeCell ref="E95:L95"/>
    <mergeCell ref="E96:L96"/>
    <mergeCell ref="E97:L97"/>
    <mergeCell ref="E98:L98"/>
    <mergeCell ref="E99:K99"/>
    <mergeCell ref="F100:L100"/>
    <mergeCell ref="E101:F101"/>
    <mergeCell ref="G101:H101"/>
    <mergeCell ref="I101:J101"/>
    <mergeCell ref="E102:G102"/>
    <mergeCell ref="H102:L102"/>
    <mergeCell ref="H103:L103"/>
    <mergeCell ref="E105:F105"/>
    <mergeCell ref="G105:H105"/>
    <mergeCell ref="E106:F106"/>
    <mergeCell ref="G106:H106"/>
    <mergeCell ref="I106:J106"/>
    <mergeCell ref="K106:L106"/>
    <mergeCell ref="E107:K107"/>
    <mergeCell ref="F108:G108"/>
    <mergeCell ref="H108:I108"/>
    <mergeCell ref="J108:K108"/>
    <mergeCell ref="E109:G109"/>
    <mergeCell ref="H109:I109"/>
    <mergeCell ref="J109:K109"/>
    <mergeCell ref="E110:F110"/>
    <mergeCell ref="G110:I110"/>
    <mergeCell ref="J110:L110"/>
    <mergeCell ref="F111:H111"/>
    <mergeCell ref="I111:K111"/>
    <mergeCell ref="E112:G112"/>
    <mergeCell ref="H112:J112"/>
    <mergeCell ref="K112:L112"/>
    <mergeCell ref="E113:H113"/>
    <mergeCell ref="I113:J113"/>
    <mergeCell ref="E114:H114"/>
    <mergeCell ref="I114:L114"/>
    <mergeCell ref="E115:K115"/>
    <mergeCell ref="E116:F116"/>
    <mergeCell ref="G116:L116"/>
    <mergeCell ref="E117:F117"/>
    <mergeCell ref="G117:L117"/>
    <mergeCell ref="E118:F118"/>
    <mergeCell ref="G118:L118"/>
    <mergeCell ref="E119:J119"/>
    <mergeCell ref="K119:L119"/>
    <mergeCell ref="E120:F120"/>
    <mergeCell ref="G120:J120"/>
    <mergeCell ref="K120:L120"/>
    <mergeCell ref="G121:J121"/>
    <mergeCell ref="K121:L121"/>
    <mergeCell ref="E122:K122"/>
    <mergeCell ref="E123:K123"/>
    <mergeCell ref="E131:K131"/>
    <mergeCell ref="C4:C43"/>
    <mergeCell ref="C44:C83"/>
    <mergeCell ref="C84:C123"/>
    <mergeCell ref="C124:C131"/>
    <mergeCell ref="D4:D11"/>
    <mergeCell ref="D12:D19"/>
    <mergeCell ref="D20:D27"/>
    <mergeCell ref="D28:D35"/>
    <mergeCell ref="D36:D43"/>
    <mergeCell ref="D44:D51"/>
    <mergeCell ref="D52:D59"/>
    <mergeCell ref="D60:D67"/>
    <mergeCell ref="D68:D75"/>
    <mergeCell ref="D76:D83"/>
    <mergeCell ref="D84:D91"/>
    <mergeCell ref="D92:D99"/>
    <mergeCell ref="D100:D107"/>
    <mergeCell ref="D108:D115"/>
    <mergeCell ref="D116:D123"/>
    <mergeCell ref="D124:D131"/>
  </mergeCells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3:AA110"/>
  <sheetViews>
    <sheetView topLeftCell="D1" workbookViewId="0">
      <selection activeCell="X11" sqref="X11:Y11"/>
    </sheetView>
  </sheetViews>
  <sheetFormatPr defaultColWidth="9" defaultRowHeight="14.4"/>
  <cols>
    <col min="3" max="3" width="16.8518518518519" customWidth="1"/>
    <col min="6" max="6" width="6" customWidth="1"/>
    <col min="7" max="7" width="7.57407407407407" customWidth="1"/>
    <col min="8" max="8" width="11.287037037037" customWidth="1"/>
    <col min="9" max="9" width="8.28703703703704" customWidth="1"/>
    <col min="10" max="10" width="12.4259259259259" customWidth="1"/>
    <col min="11" max="11" width="8.28703703703704" customWidth="1"/>
    <col min="12" max="12" width="11" customWidth="1"/>
    <col min="13" max="13" width="14.287037037037" customWidth="1"/>
    <col min="15" max="15" width="17.287037037037" customWidth="1"/>
    <col min="16" max="16" width="31.8518518518519" customWidth="1"/>
    <col min="21" max="21" width="8.28703703703704" customWidth="1"/>
    <col min="22" max="22" width="11" customWidth="1"/>
    <col min="23" max="23" width="14.287037037037" customWidth="1"/>
    <col min="24" max="24" width="13.287037037037" customWidth="1"/>
    <col min="25" max="25" width="17.287037037037" customWidth="1"/>
    <col min="26" max="26" width="15" customWidth="1"/>
    <col min="27" max="27" width="5.71296296296296" customWidth="1"/>
  </cols>
  <sheetData>
    <row r="3" spans="2:27">
      <c r="B3" s="56" t="s">
        <v>338</v>
      </c>
      <c r="C3" s="56" t="s">
        <v>339</v>
      </c>
      <c r="D3" s="56" t="s">
        <v>340</v>
      </c>
      <c r="E3" s="56" t="s">
        <v>341</v>
      </c>
      <c r="F3" s="56" t="s">
        <v>342</v>
      </c>
      <c r="G3" s="56" t="s">
        <v>343</v>
      </c>
      <c r="H3" s="56" t="s">
        <v>98</v>
      </c>
      <c r="I3" s="56" t="s">
        <v>99</v>
      </c>
      <c r="J3" s="56" t="s">
        <v>100</v>
      </c>
      <c r="K3" s="56" t="s">
        <v>101</v>
      </c>
      <c r="L3" s="56" t="s">
        <v>102</v>
      </c>
      <c r="M3" s="56" t="s">
        <v>103</v>
      </c>
      <c r="N3" s="56" t="s">
        <v>104</v>
      </c>
      <c r="O3" s="56" t="s">
        <v>105</v>
      </c>
      <c r="P3" s="56" t="s">
        <v>344</v>
      </c>
      <c r="R3" s="56" t="s">
        <v>98</v>
      </c>
      <c r="S3" s="56" t="s">
        <v>99</v>
      </c>
      <c r="T3" s="56" t="s">
        <v>100</v>
      </c>
      <c r="U3" s="56" t="s">
        <v>101</v>
      </c>
      <c r="V3" s="56" t="s">
        <v>102</v>
      </c>
      <c r="W3" s="56" t="s">
        <v>103</v>
      </c>
      <c r="X3" s="56" t="s">
        <v>104</v>
      </c>
      <c r="Y3" s="96" t="s">
        <v>105</v>
      </c>
      <c r="Z3" s="97"/>
      <c r="AA3" s="7"/>
    </row>
    <row r="4" spans="2:27">
      <c r="B4" s="66" t="s">
        <v>345</v>
      </c>
      <c r="C4" s="58" t="s">
        <v>346</v>
      </c>
      <c r="D4" s="59" t="s">
        <v>347</v>
      </c>
      <c r="E4" s="59" t="s">
        <v>348</v>
      </c>
      <c r="F4" s="59" t="s">
        <v>106</v>
      </c>
      <c r="G4" s="59" t="s">
        <v>349</v>
      </c>
      <c r="H4" s="60" t="s">
        <v>350</v>
      </c>
      <c r="I4" s="60" t="s">
        <v>351</v>
      </c>
      <c r="J4" s="60" t="s">
        <v>173</v>
      </c>
      <c r="K4" s="60" t="s">
        <v>174</v>
      </c>
      <c r="L4" s="60" t="s">
        <v>175</v>
      </c>
      <c r="M4" s="60" t="s">
        <v>163</v>
      </c>
      <c r="N4" s="60" t="s">
        <v>164</v>
      </c>
      <c r="O4" s="60" t="s">
        <v>165</v>
      </c>
      <c r="P4" s="58" t="s">
        <v>352</v>
      </c>
      <c r="R4" s="60" t="s">
        <v>350</v>
      </c>
      <c r="S4" s="60" t="s">
        <v>351</v>
      </c>
      <c r="T4" s="60" t="s">
        <v>173</v>
      </c>
      <c r="U4" s="60" t="s">
        <v>174</v>
      </c>
      <c r="V4" s="60" t="s">
        <v>175</v>
      </c>
      <c r="W4" s="60" t="s">
        <v>163</v>
      </c>
      <c r="X4" s="60" t="s">
        <v>164</v>
      </c>
      <c r="Y4" s="60" t="s">
        <v>165</v>
      </c>
      <c r="Z4" s="98" t="str">
        <f>C4</f>
        <v>EVENT0</v>
      </c>
      <c r="AA4" s="7"/>
    </row>
    <row r="5" spans="2:27">
      <c r="B5" s="66"/>
      <c r="C5" s="58" t="s">
        <v>353</v>
      </c>
      <c r="D5" s="59" t="s">
        <v>354</v>
      </c>
      <c r="E5" s="59" t="s">
        <v>348</v>
      </c>
      <c r="F5" s="59" t="s">
        <v>106</v>
      </c>
      <c r="G5" s="59" t="s">
        <v>349</v>
      </c>
      <c r="H5" s="58"/>
      <c r="I5" s="58"/>
      <c r="J5" s="60" t="s">
        <v>179</v>
      </c>
      <c r="K5" s="60" t="s">
        <v>168</v>
      </c>
      <c r="L5" s="60" t="s">
        <v>169</v>
      </c>
      <c r="M5" s="60" t="s">
        <v>170</v>
      </c>
      <c r="N5" s="60" t="s">
        <v>171</v>
      </c>
      <c r="O5" s="60" t="s">
        <v>172</v>
      </c>
      <c r="P5" s="58" t="s">
        <v>352</v>
      </c>
      <c r="R5" s="58"/>
      <c r="S5" s="58"/>
      <c r="T5" s="60" t="s">
        <v>179</v>
      </c>
      <c r="U5" s="60" t="s">
        <v>168</v>
      </c>
      <c r="V5" s="60" t="s">
        <v>169</v>
      </c>
      <c r="W5" s="60" t="s">
        <v>170</v>
      </c>
      <c r="X5" s="60" t="s">
        <v>171</v>
      </c>
      <c r="Y5" s="60" t="s">
        <v>172</v>
      </c>
      <c r="Z5" s="98" t="str">
        <f t="shared" ref="Z5:Z12" si="0">C5</f>
        <v>EVENT1</v>
      </c>
      <c r="AA5" s="7"/>
    </row>
    <row r="6" spans="2:27">
      <c r="B6" s="66"/>
      <c r="C6" s="58" t="s">
        <v>355</v>
      </c>
      <c r="D6" s="59" t="s">
        <v>356</v>
      </c>
      <c r="E6" s="59" t="s">
        <v>357</v>
      </c>
      <c r="F6" s="59" t="s">
        <v>106</v>
      </c>
      <c r="G6" s="59" t="s">
        <v>349</v>
      </c>
      <c r="H6" s="60" t="s">
        <v>350</v>
      </c>
      <c r="I6" s="60" t="s">
        <v>351</v>
      </c>
      <c r="J6" s="60" t="s">
        <v>173</v>
      </c>
      <c r="K6" s="60" t="s">
        <v>174</v>
      </c>
      <c r="L6" s="60" t="s">
        <v>175</v>
      </c>
      <c r="M6" s="60" t="s">
        <v>163</v>
      </c>
      <c r="N6" s="60" t="s">
        <v>164</v>
      </c>
      <c r="O6" s="60" t="s">
        <v>165</v>
      </c>
      <c r="P6" s="58" t="s">
        <v>358</v>
      </c>
      <c r="R6" s="60" t="s">
        <v>350</v>
      </c>
      <c r="S6" s="60" t="s">
        <v>351</v>
      </c>
      <c r="T6" s="60" t="s">
        <v>173</v>
      </c>
      <c r="U6" s="60" t="s">
        <v>174</v>
      </c>
      <c r="V6" s="60" t="s">
        <v>175</v>
      </c>
      <c r="W6" s="60" t="s">
        <v>163</v>
      </c>
      <c r="X6" s="60" t="s">
        <v>164</v>
      </c>
      <c r="Y6" s="60" t="s">
        <v>165</v>
      </c>
      <c r="Z6" s="98" t="str">
        <f t="shared" si="0"/>
        <v>STATUS0</v>
      </c>
      <c r="AA6" s="7"/>
    </row>
    <row r="7" spans="2:27">
      <c r="B7" s="66"/>
      <c r="C7" s="58" t="s">
        <v>359</v>
      </c>
      <c r="D7" s="59" t="s">
        <v>360</v>
      </c>
      <c r="E7" s="59" t="s">
        <v>357</v>
      </c>
      <c r="F7" s="59" t="s">
        <v>106</v>
      </c>
      <c r="G7" s="59" t="s">
        <v>349</v>
      </c>
      <c r="H7" s="58"/>
      <c r="I7" s="58"/>
      <c r="J7" s="60" t="s">
        <v>179</v>
      </c>
      <c r="K7" s="60" t="s">
        <v>168</v>
      </c>
      <c r="L7" s="60" t="s">
        <v>169</v>
      </c>
      <c r="M7" s="60" t="s">
        <v>170</v>
      </c>
      <c r="N7" s="60" t="s">
        <v>171</v>
      </c>
      <c r="O7" s="60" t="s">
        <v>172</v>
      </c>
      <c r="P7" s="58" t="s">
        <v>358</v>
      </c>
      <c r="R7" s="58"/>
      <c r="S7" s="58"/>
      <c r="T7" s="60" t="s">
        <v>179</v>
      </c>
      <c r="U7" s="60" t="s">
        <v>168</v>
      </c>
      <c r="V7" s="60" t="s">
        <v>169</v>
      </c>
      <c r="W7" s="60" t="s">
        <v>170</v>
      </c>
      <c r="X7" s="60" t="s">
        <v>171</v>
      </c>
      <c r="Y7" s="60" t="s">
        <v>172</v>
      </c>
      <c r="Z7" s="98" t="str">
        <f t="shared" si="0"/>
        <v>STATUS1</v>
      </c>
      <c r="AA7" s="7"/>
    </row>
    <row r="8" spans="2:27">
      <c r="B8" s="66"/>
      <c r="C8" s="58" t="s">
        <v>361</v>
      </c>
      <c r="D8" s="59" t="s">
        <v>362</v>
      </c>
      <c r="E8" s="59" t="s">
        <v>357</v>
      </c>
      <c r="F8" s="59" t="s">
        <v>106</v>
      </c>
      <c r="G8" s="59" t="s">
        <v>349</v>
      </c>
      <c r="H8" s="60" t="s">
        <v>363</v>
      </c>
      <c r="I8" s="60"/>
      <c r="J8" s="58"/>
      <c r="K8" s="60" t="s">
        <v>364</v>
      </c>
      <c r="L8" s="60"/>
      <c r="M8" s="60"/>
      <c r="N8" s="60"/>
      <c r="O8" s="60"/>
      <c r="P8" s="58" t="s">
        <v>365</v>
      </c>
      <c r="R8" s="60" t="s">
        <v>363</v>
      </c>
      <c r="S8" s="60"/>
      <c r="T8" s="58"/>
      <c r="U8" s="60" t="s">
        <v>364</v>
      </c>
      <c r="V8" s="60"/>
      <c r="W8" s="60"/>
      <c r="X8" s="60"/>
      <c r="Y8" s="60"/>
      <c r="Z8" s="98" t="str">
        <f t="shared" si="0"/>
        <v>STATE</v>
      </c>
      <c r="AA8" s="7"/>
    </row>
    <row r="9" spans="2:27">
      <c r="B9" s="66"/>
      <c r="C9" s="58" t="s">
        <v>366</v>
      </c>
      <c r="D9" s="59" t="s">
        <v>367</v>
      </c>
      <c r="E9" s="59" t="s">
        <v>357</v>
      </c>
      <c r="F9" s="59" t="s">
        <v>106</v>
      </c>
      <c r="G9" s="59" t="s">
        <v>349</v>
      </c>
      <c r="H9" s="60" t="s">
        <v>366</v>
      </c>
      <c r="I9" s="60"/>
      <c r="J9" s="60"/>
      <c r="K9" s="60"/>
      <c r="L9" s="60"/>
      <c r="M9" s="60"/>
      <c r="N9" s="60"/>
      <c r="O9" s="60"/>
      <c r="P9" s="58" t="s">
        <v>368</v>
      </c>
      <c r="R9" s="60" t="s">
        <v>366</v>
      </c>
      <c r="S9" s="60"/>
      <c r="T9" s="60"/>
      <c r="U9" s="60"/>
      <c r="V9" s="60"/>
      <c r="W9" s="60"/>
      <c r="X9" s="60"/>
      <c r="Y9" s="60"/>
      <c r="Z9" s="98" t="str">
        <f t="shared" si="0"/>
        <v>CPCLK_LO</v>
      </c>
      <c r="AA9" s="7"/>
    </row>
    <row r="10" spans="2:27">
      <c r="B10" s="66"/>
      <c r="C10" s="58" t="s">
        <v>369</v>
      </c>
      <c r="D10" s="59" t="s">
        <v>370</v>
      </c>
      <c r="E10" s="59" t="s">
        <v>357</v>
      </c>
      <c r="F10" s="59" t="s">
        <v>106</v>
      </c>
      <c r="G10" s="59" t="s">
        <v>349</v>
      </c>
      <c r="H10" s="58"/>
      <c r="I10" s="58"/>
      <c r="J10" s="58"/>
      <c r="K10" s="58"/>
      <c r="L10" s="60" t="s">
        <v>369</v>
      </c>
      <c r="M10" s="60"/>
      <c r="N10" s="60"/>
      <c r="O10" s="60"/>
      <c r="P10" s="58" t="s">
        <v>371</v>
      </c>
      <c r="R10" s="58"/>
      <c r="S10" s="58"/>
      <c r="T10" s="58"/>
      <c r="U10" s="58"/>
      <c r="V10" s="60" t="s">
        <v>369</v>
      </c>
      <c r="W10" s="60"/>
      <c r="X10" s="60"/>
      <c r="Y10" s="60"/>
      <c r="Z10" s="98" t="str">
        <f t="shared" si="0"/>
        <v>CPCLK_HI</v>
      </c>
      <c r="AA10" s="7"/>
    </row>
    <row r="11" spans="2:27">
      <c r="B11" s="66"/>
      <c r="C11" s="58" t="s">
        <v>372</v>
      </c>
      <c r="D11" s="59" t="s">
        <v>373</v>
      </c>
      <c r="E11" s="59" t="s">
        <v>357</v>
      </c>
      <c r="F11" s="59" t="s">
        <v>106</v>
      </c>
      <c r="G11" s="59" t="s">
        <v>349</v>
      </c>
      <c r="H11" s="58"/>
      <c r="I11" s="58"/>
      <c r="J11" s="58"/>
      <c r="K11" s="60" t="s">
        <v>374</v>
      </c>
      <c r="L11" s="58"/>
      <c r="M11" s="58"/>
      <c r="N11" s="60" t="s">
        <v>375</v>
      </c>
      <c r="O11" s="60"/>
      <c r="P11" s="58" t="s">
        <v>376</v>
      </c>
      <c r="R11" s="58"/>
      <c r="S11" s="58"/>
      <c r="T11" s="58"/>
      <c r="U11" s="60" t="s">
        <v>374</v>
      </c>
      <c r="V11" s="58"/>
      <c r="W11" s="58"/>
      <c r="X11" s="60" t="s">
        <v>375</v>
      </c>
      <c r="Y11" s="60"/>
      <c r="Z11" s="98" t="str">
        <f t="shared" si="0"/>
        <v>MODE</v>
      </c>
      <c r="AA11" s="7"/>
    </row>
    <row r="12" spans="2:27">
      <c r="B12" s="66" t="s">
        <v>377</v>
      </c>
      <c r="C12" s="58" t="s">
        <v>378</v>
      </c>
      <c r="D12" s="59" t="s">
        <v>379</v>
      </c>
      <c r="E12" s="59" t="s">
        <v>380</v>
      </c>
      <c r="F12" s="59" t="s">
        <v>221</v>
      </c>
      <c r="G12" s="59" t="s">
        <v>221</v>
      </c>
      <c r="H12" s="58"/>
      <c r="I12" s="58"/>
      <c r="J12" s="73" t="s">
        <v>378</v>
      </c>
      <c r="K12" s="73"/>
      <c r="L12" s="73"/>
      <c r="M12" s="73"/>
      <c r="N12" s="73"/>
      <c r="O12" s="73"/>
      <c r="P12" s="58" t="s">
        <v>381</v>
      </c>
      <c r="R12" s="58"/>
      <c r="S12" s="58"/>
      <c r="T12" s="73" t="s">
        <v>378</v>
      </c>
      <c r="U12" s="73"/>
      <c r="V12" s="73"/>
      <c r="W12" s="73"/>
      <c r="X12" s="73"/>
      <c r="Y12" s="73"/>
      <c r="Z12" s="84" t="str">
        <f t="shared" si="0"/>
        <v>TR_OSC</v>
      </c>
      <c r="AA12" s="7"/>
    </row>
    <row r="13" spans="2:27">
      <c r="B13" s="66"/>
      <c r="C13" s="58" t="s">
        <v>382</v>
      </c>
      <c r="D13" s="59" t="s">
        <v>383</v>
      </c>
      <c r="E13" s="59" t="s">
        <v>380</v>
      </c>
      <c r="F13" s="59" t="s">
        <v>106</v>
      </c>
      <c r="G13" s="59" t="s">
        <v>106</v>
      </c>
      <c r="H13" s="58"/>
      <c r="I13" s="58"/>
      <c r="J13" s="73" t="s">
        <v>382</v>
      </c>
      <c r="K13" s="73"/>
      <c r="L13" s="73"/>
      <c r="M13" s="73"/>
      <c r="N13" s="73"/>
      <c r="O13" s="73"/>
      <c r="P13" s="58" t="s">
        <v>384</v>
      </c>
      <c r="R13" s="58"/>
      <c r="S13" s="58"/>
      <c r="T13" s="73" t="s">
        <v>382</v>
      </c>
      <c r="U13" s="73"/>
      <c r="V13" s="73"/>
      <c r="W13" s="73"/>
      <c r="X13" s="73"/>
      <c r="Y13" s="73"/>
      <c r="Z13" s="84" t="str">
        <f t="shared" ref="Z13:Z21" si="1">C13</f>
        <v>TR_IREF</v>
      </c>
      <c r="AA13" s="7"/>
    </row>
    <row r="14" spans="2:27">
      <c r="B14" s="66"/>
      <c r="C14" s="58" t="s">
        <v>385</v>
      </c>
      <c r="D14" s="59" t="s">
        <v>386</v>
      </c>
      <c r="E14" s="59" t="s">
        <v>380</v>
      </c>
      <c r="F14" s="59" t="s">
        <v>106</v>
      </c>
      <c r="G14" s="59" t="s">
        <v>106</v>
      </c>
      <c r="H14" s="58"/>
      <c r="I14" s="58"/>
      <c r="J14" s="73" t="s">
        <v>385</v>
      </c>
      <c r="K14" s="73"/>
      <c r="L14" s="73"/>
      <c r="M14" s="73"/>
      <c r="N14" s="73"/>
      <c r="O14" s="73"/>
      <c r="P14" s="58" t="s">
        <v>387</v>
      </c>
      <c r="R14" s="58"/>
      <c r="S14" s="58"/>
      <c r="T14" s="73" t="s">
        <v>385</v>
      </c>
      <c r="U14" s="73"/>
      <c r="V14" s="73"/>
      <c r="W14" s="73"/>
      <c r="X14" s="73"/>
      <c r="Y14" s="73"/>
      <c r="Z14" s="84" t="str">
        <f t="shared" si="1"/>
        <v>TR_BG_BUF</v>
      </c>
      <c r="AA14" s="7"/>
    </row>
    <row r="15" spans="2:27">
      <c r="B15" s="66"/>
      <c r="C15" s="58" t="s">
        <v>388</v>
      </c>
      <c r="D15" s="59" t="s">
        <v>389</v>
      </c>
      <c r="E15" s="59" t="s">
        <v>380</v>
      </c>
      <c r="F15" s="59" t="s">
        <v>106</v>
      </c>
      <c r="G15" s="59" t="s">
        <v>106</v>
      </c>
      <c r="H15" s="73" t="s">
        <v>388</v>
      </c>
      <c r="I15" s="73"/>
      <c r="J15" s="73"/>
      <c r="K15" s="73"/>
      <c r="L15" s="73"/>
      <c r="M15" s="73"/>
      <c r="N15" s="73"/>
      <c r="O15" s="73"/>
      <c r="P15" s="58" t="s">
        <v>390</v>
      </c>
      <c r="R15" s="73" t="s">
        <v>388</v>
      </c>
      <c r="S15" s="73"/>
      <c r="T15" s="73"/>
      <c r="U15" s="73"/>
      <c r="V15" s="73"/>
      <c r="W15" s="73"/>
      <c r="X15" s="73"/>
      <c r="Y15" s="73"/>
      <c r="Z15" s="84" t="str">
        <f t="shared" si="1"/>
        <v>TR_VBG</v>
      </c>
      <c r="AA15" s="7"/>
    </row>
    <row r="16" spans="2:27">
      <c r="B16" s="66"/>
      <c r="C16" s="58" t="s">
        <v>391</v>
      </c>
      <c r="D16" s="59" t="s">
        <v>392</v>
      </c>
      <c r="E16" s="59" t="s">
        <v>380</v>
      </c>
      <c r="F16" s="59" t="s">
        <v>106</v>
      </c>
      <c r="G16" s="59" t="s">
        <v>106</v>
      </c>
      <c r="H16" s="58"/>
      <c r="I16" s="58"/>
      <c r="J16" s="58"/>
      <c r="K16" s="58"/>
      <c r="L16" s="73" t="s">
        <v>391</v>
      </c>
      <c r="M16" s="73"/>
      <c r="N16" s="73"/>
      <c r="O16" s="73"/>
      <c r="P16" s="58" t="s">
        <v>393</v>
      </c>
      <c r="R16" s="58"/>
      <c r="S16" s="58"/>
      <c r="T16" s="58"/>
      <c r="U16" s="58"/>
      <c r="V16" s="73" t="s">
        <v>391</v>
      </c>
      <c r="W16" s="73"/>
      <c r="X16" s="73"/>
      <c r="Y16" s="73"/>
      <c r="Z16" s="84" t="str">
        <f t="shared" si="1"/>
        <v>TR_TSD</v>
      </c>
      <c r="AA16" s="7"/>
    </row>
    <row r="17" spans="2:27">
      <c r="B17" s="66"/>
      <c r="C17" s="58" t="s">
        <v>394</v>
      </c>
      <c r="D17" s="59" t="s">
        <v>395</v>
      </c>
      <c r="E17" s="59" t="s">
        <v>380</v>
      </c>
      <c r="F17" s="59" t="s">
        <v>106</v>
      </c>
      <c r="G17" s="59" t="s">
        <v>106</v>
      </c>
      <c r="H17" s="58"/>
      <c r="I17" s="58"/>
      <c r="J17" s="73" t="s">
        <v>394</v>
      </c>
      <c r="K17" s="73"/>
      <c r="L17" s="73"/>
      <c r="M17" s="73"/>
      <c r="N17" s="73"/>
      <c r="O17" s="73"/>
      <c r="P17" s="58" t="s">
        <v>396</v>
      </c>
      <c r="R17" s="58"/>
      <c r="S17" s="58"/>
      <c r="T17" s="73" t="s">
        <v>394</v>
      </c>
      <c r="U17" s="73"/>
      <c r="V17" s="73"/>
      <c r="W17" s="73"/>
      <c r="X17" s="73"/>
      <c r="Y17" s="73"/>
      <c r="Z17" s="84" t="str">
        <f t="shared" si="1"/>
        <v>TR_CS</v>
      </c>
      <c r="AA17" s="7"/>
    </row>
    <row r="18" spans="2:27">
      <c r="B18" s="66"/>
      <c r="C18" s="58" t="s">
        <v>397</v>
      </c>
      <c r="D18" s="59" t="s">
        <v>398</v>
      </c>
      <c r="E18" s="59" t="s">
        <v>380</v>
      </c>
      <c r="F18" s="59" t="s">
        <v>106</v>
      </c>
      <c r="G18" s="59" t="s">
        <v>106</v>
      </c>
      <c r="H18" s="58"/>
      <c r="I18" s="58"/>
      <c r="J18" s="73" t="s">
        <v>397</v>
      </c>
      <c r="K18" s="73"/>
      <c r="L18" s="73"/>
      <c r="M18" s="73"/>
      <c r="N18" s="73"/>
      <c r="O18" s="73"/>
      <c r="P18" s="58" t="s">
        <v>399</v>
      </c>
      <c r="R18" s="58"/>
      <c r="S18" s="58"/>
      <c r="T18" s="73" t="s">
        <v>397</v>
      </c>
      <c r="U18" s="73"/>
      <c r="V18" s="73"/>
      <c r="W18" s="73"/>
      <c r="X18" s="73"/>
      <c r="Y18" s="73"/>
      <c r="Z18" s="84" t="str">
        <f t="shared" si="1"/>
        <v>TR_ZC</v>
      </c>
      <c r="AA18" s="7"/>
    </row>
    <row r="19" spans="2:27">
      <c r="B19" s="66"/>
      <c r="C19" s="58" t="s">
        <v>400</v>
      </c>
      <c r="D19" s="59" t="s">
        <v>401</v>
      </c>
      <c r="E19" s="59" t="s">
        <v>380</v>
      </c>
      <c r="F19" s="59" t="s">
        <v>106</v>
      </c>
      <c r="G19" s="59" t="s">
        <v>106</v>
      </c>
      <c r="H19" s="58"/>
      <c r="I19" s="58"/>
      <c r="J19" s="58"/>
      <c r="K19" s="58"/>
      <c r="L19" s="73" t="s">
        <v>400</v>
      </c>
      <c r="M19" s="73"/>
      <c r="N19" s="73"/>
      <c r="O19" s="73"/>
      <c r="P19" s="58" t="s">
        <v>402</v>
      </c>
      <c r="R19" s="58"/>
      <c r="S19" s="58"/>
      <c r="T19" s="58"/>
      <c r="U19" s="58"/>
      <c r="V19" s="73" t="s">
        <v>400</v>
      </c>
      <c r="W19" s="73"/>
      <c r="X19" s="73"/>
      <c r="Y19" s="73"/>
      <c r="Z19" s="84" t="str">
        <f t="shared" si="1"/>
        <v>TR_CP</v>
      </c>
      <c r="AA19" s="7"/>
    </row>
    <row r="20" spans="2:27">
      <c r="B20" s="66"/>
      <c r="C20" s="58" t="s">
        <v>403</v>
      </c>
      <c r="D20" s="59" t="s">
        <v>404</v>
      </c>
      <c r="E20" s="59" t="s">
        <v>380</v>
      </c>
      <c r="F20" s="59" t="s">
        <v>106</v>
      </c>
      <c r="G20" s="59" t="s">
        <v>106</v>
      </c>
      <c r="H20" s="73" t="s">
        <v>403</v>
      </c>
      <c r="I20" s="73"/>
      <c r="J20" s="73"/>
      <c r="K20" s="73"/>
      <c r="L20" s="73"/>
      <c r="M20" s="73"/>
      <c r="N20" s="73"/>
      <c r="O20" s="73"/>
      <c r="P20" s="58" t="s">
        <v>405</v>
      </c>
      <c r="R20" s="73" t="s">
        <v>403</v>
      </c>
      <c r="S20" s="73"/>
      <c r="T20" s="73"/>
      <c r="U20" s="73"/>
      <c r="V20" s="73"/>
      <c r="W20" s="73"/>
      <c r="X20" s="73"/>
      <c r="Y20" s="73"/>
      <c r="Z20" s="84" t="str">
        <f t="shared" si="1"/>
        <v>TR_SPARE</v>
      </c>
      <c r="AA20" s="7"/>
    </row>
    <row r="21" ht="15" customHeight="1" spans="2:27">
      <c r="B21" s="66" t="s">
        <v>406</v>
      </c>
      <c r="C21" s="58" t="s">
        <v>407</v>
      </c>
      <c r="D21" s="59" t="s">
        <v>408</v>
      </c>
      <c r="E21" s="59" t="s">
        <v>380</v>
      </c>
      <c r="F21" s="59" t="s">
        <v>106</v>
      </c>
      <c r="G21" s="59" t="s">
        <v>106</v>
      </c>
      <c r="H21" s="73" t="s">
        <v>407</v>
      </c>
      <c r="I21" s="73"/>
      <c r="J21" s="73"/>
      <c r="K21" s="73"/>
      <c r="L21" s="73"/>
      <c r="M21" s="73"/>
      <c r="N21" s="73"/>
      <c r="O21" s="73"/>
      <c r="P21" s="58" t="s">
        <v>409</v>
      </c>
      <c r="R21" s="65" t="str">
        <f>config!I50</f>
        <v>0X00</v>
      </c>
      <c r="S21" s="71"/>
      <c r="T21" s="71"/>
      <c r="U21" s="71"/>
      <c r="V21" s="71"/>
      <c r="W21" s="71"/>
      <c r="X21" s="71"/>
      <c r="Y21" s="71"/>
      <c r="Z21" s="84" t="str">
        <f t="shared" si="1"/>
        <v>CFG_CP0</v>
      </c>
      <c r="AA21" s="7" t="str">
        <f>R21</f>
        <v>0X00</v>
      </c>
    </row>
    <row r="22" spans="2:27">
      <c r="B22" s="66"/>
      <c r="C22" s="58" t="s">
        <v>410</v>
      </c>
      <c r="D22" s="59" t="s">
        <v>411</v>
      </c>
      <c r="E22" s="59" t="s">
        <v>380</v>
      </c>
      <c r="F22" s="59" t="s">
        <v>106</v>
      </c>
      <c r="G22" s="59" t="s">
        <v>106</v>
      </c>
      <c r="H22" s="73" t="s">
        <v>410</v>
      </c>
      <c r="I22" s="73"/>
      <c r="J22" s="73"/>
      <c r="K22" s="73"/>
      <c r="L22" s="73"/>
      <c r="M22" s="73"/>
      <c r="N22" s="73"/>
      <c r="O22" s="73"/>
      <c r="P22" s="58" t="s">
        <v>409</v>
      </c>
      <c r="R22" s="65" t="str">
        <f>config!I42</f>
        <v>0X00</v>
      </c>
      <c r="S22" s="71"/>
      <c r="T22" s="71"/>
      <c r="U22" s="71"/>
      <c r="V22" s="71"/>
      <c r="W22" s="71"/>
      <c r="X22" s="71"/>
      <c r="Y22" s="71"/>
      <c r="Z22" s="84" t="str">
        <f t="shared" ref="Z22:Z85" si="2">C22</f>
        <v>CFG_CP1</v>
      </c>
      <c r="AA22" s="7" t="str">
        <f t="shared" ref="AA22:AA27" si="3">R22</f>
        <v>0X00</v>
      </c>
    </row>
    <row r="23" spans="2:27">
      <c r="B23" s="66"/>
      <c r="C23" s="58" t="s">
        <v>412</v>
      </c>
      <c r="D23" s="59" t="s">
        <v>413</v>
      </c>
      <c r="E23" s="59" t="s">
        <v>380</v>
      </c>
      <c r="F23" s="59" t="s">
        <v>106</v>
      </c>
      <c r="G23" s="59" t="s">
        <v>106</v>
      </c>
      <c r="H23" s="73" t="s">
        <v>412</v>
      </c>
      <c r="I23" s="73"/>
      <c r="J23" s="73"/>
      <c r="K23" s="73"/>
      <c r="L23" s="73"/>
      <c r="M23" s="73"/>
      <c r="N23" s="73"/>
      <c r="O23" s="73"/>
      <c r="P23" s="58" t="s">
        <v>409</v>
      </c>
      <c r="R23" s="65" t="str">
        <f>config!I34</f>
        <v>0X2A</v>
      </c>
      <c r="S23" s="71"/>
      <c r="T23" s="71"/>
      <c r="U23" s="71"/>
      <c r="V23" s="71"/>
      <c r="W23" s="71"/>
      <c r="X23" s="71"/>
      <c r="Y23" s="71"/>
      <c r="Z23" s="84" t="str">
        <f t="shared" si="2"/>
        <v>CFG_CP2</v>
      </c>
      <c r="AA23" s="7" t="str">
        <f t="shared" si="3"/>
        <v>0X2A</v>
      </c>
    </row>
    <row r="24" spans="2:27">
      <c r="B24" s="66"/>
      <c r="C24" s="58" t="s">
        <v>414</v>
      </c>
      <c r="D24" s="59" t="s">
        <v>415</v>
      </c>
      <c r="E24" s="59" t="s">
        <v>380</v>
      </c>
      <c r="F24" s="59" t="s">
        <v>106</v>
      </c>
      <c r="G24" s="59" t="s">
        <v>106</v>
      </c>
      <c r="H24" s="73" t="s">
        <v>414</v>
      </c>
      <c r="I24" s="73"/>
      <c r="J24" s="73"/>
      <c r="K24" s="73"/>
      <c r="L24" s="73"/>
      <c r="M24" s="73"/>
      <c r="N24" s="73"/>
      <c r="O24" s="73"/>
      <c r="P24" s="58" t="s">
        <v>409</v>
      </c>
      <c r="R24" s="65" t="str">
        <f>config!I26</f>
        <v>0X95</v>
      </c>
      <c r="S24" s="71"/>
      <c r="T24" s="71"/>
      <c r="U24" s="71"/>
      <c r="V24" s="71"/>
      <c r="W24" s="71"/>
      <c r="X24" s="71"/>
      <c r="Y24" s="71"/>
      <c r="Z24" s="84" t="str">
        <f t="shared" si="2"/>
        <v>CFG_CP3</v>
      </c>
      <c r="AA24" s="7" t="str">
        <f t="shared" si="3"/>
        <v>0X95</v>
      </c>
    </row>
    <row r="25" spans="2:27">
      <c r="B25" s="66"/>
      <c r="C25" s="58" t="s">
        <v>416</v>
      </c>
      <c r="D25" s="59" t="s">
        <v>417</v>
      </c>
      <c r="E25" s="59" t="s">
        <v>380</v>
      </c>
      <c r="F25" s="59" t="s">
        <v>106</v>
      </c>
      <c r="G25" s="59" t="s">
        <v>106</v>
      </c>
      <c r="H25" s="73" t="s">
        <v>416</v>
      </c>
      <c r="I25" s="73"/>
      <c r="J25" s="73"/>
      <c r="K25" s="73"/>
      <c r="L25" s="73"/>
      <c r="M25" s="73"/>
      <c r="N25" s="73"/>
      <c r="O25" s="73"/>
      <c r="P25" s="58" t="s">
        <v>409</v>
      </c>
      <c r="R25" s="65" t="str">
        <f>config!I18</f>
        <v>0XC2</v>
      </c>
      <c r="S25" s="71"/>
      <c r="T25" s="71"/>
      <c r="U25" s="71"/>
      <c r="V25" s="71"/>
      <c r="W25" s="71"/>
      <c r="X25" s="71"/>
      <c r="Y25" s="71"/>
      <c r="Z25" s="84" t="str">
        <f t="shared" si="2"/>
        <v>CFG_CP4</v>
      </c>
      <c r="AA25" s="7" t="str">
        <f t="shared" si="3"/>
        <v>0XC2</v>
      </c>
    </row>
    <row r="26" spans="2:27">
      <c r="B26" s="66"/>
      <c r="C26" s="58" t="s">
        <v>418</v>
      </c>
      <c r="D26" s="59" t="s">
        <v>419</v>
      </c>
      <c r="E26" s="59" t="s">
        <v>380</v>
      </c>
      <c r="F26" s="59" t="s">
        <v>106</v>
      </c>
      <c r="G26" s="59" t="s">
        <v>106</v>
      </c>
      <c r="H26" s="73" t="s">
        <v>418</v>
      </c>
      <c r="I26" s="73"/>
      <c r="J26" s="73"/>
      <c r="K26" s="73"/>
      <c r="L26" s="73"/>
      <c r="M26" s="73"/>
      <c r="N26" s="73"/>
      <c r="O26" s="73"/>
      <c r="P26" s="58" t="s">
        <v>409</v>
      </c>
      <c r="R26" s="65" t="str">
        <f>config!I10</f>
        <v>0XDB</v>
      </c>
      <c r="S26" s="71"/>
      <c r="T26" s="71"/>
      <c r="U26" s="71"/>
      <c r="V26" s="71"/>
      <c r="W26" s="71"/>
      <c r="X26" s="71"/>
      <c r="Y26" s="71"/>
      <c r="Z26" s="84" t="str">
        <f t="shared" si="2"/>
        <v>CFG_CP5</v>
      </c>
      <c r="AA26" s="7" t="str">
        <f t="shared" si="3"/>
        <v>0XDB</v>
      </c>
    </row>
    <row r="27" spans="2:27">
      <c r="B27" s="66"/>
      <c r="C27" s="58" t="s">
        <v>420</v>
      </c>
      <c r="D27" s="59" t="s">
        <v>421</v>
      </c>
      <c r="E27" s="59" t="s">
        <v>380</v>
      </c>
      <c r="F27" s="59" t="s">
        <v>106</v>
      </c>
      <c r="G27" s="59" t="s">
        <v>106</v>
      </c>
      <c r="H27" s="73" t="s">
        <v>420</v>
      </c>
      <c r="I27" s="73"/>
      <c r="J27" s="73"/>
      <c r="K27" s="73"/>
      <c r="L27" s="73"/>
      <c r="M27" s="73"/>
      <c r="N27" s="73"/>
      <c r="O27" s="73"/>
      <c r="P27" s="58" t="s">
        <v>409</v>
      </c>
      <c r="R27" s="77" t="str">
        <f>config!I2</f>
        <v>0X86</v>
      </c>
      <c r="S27" s="78"/>
      <c r="T27" s="78"/>
      <c r="U27" s="78"/>
      <c r="V27" s="78"/>
      <c r="W27" s="71"/>
      <c r="X27" s="71"/>
      <c r="Y27" s="71"/>
      <c r="Z27" s="84" t="str">
        <f t="shared" si="2"/>
        <v>CFG_CP6</v>
      </c>
      <c r="AA27" s="7" t="str">
        <f t="shared" si="3"/>
        <v>0X86</v>
      </c>
    </row>
    <row r="28" spans="2:27">
      <c r="B28" s="66"/>
      <c r="C28" s="58" t="s">
        <v>43</v>
      </c>
      <c r="D28" s="59" t="s">
        <v>422</v>
      </c>
      <c r="E28" s="59" t="s">
        <v>380</v>
      </c>
      <c r="F28" s="59" t="s">
        <v>106</v>
      </c>
      <c r="G28" s="59" t="s">
        <v>106</v>
      </c>
      <c r="H28" s="58"/>
      <c r="I28" s="58"/>
      <c r="J28" s="58"/>
      <c r="K28" s="58"/>
      <c r="L28" s="58"/>
      <c r="M28" s="73" t="s">
        <v>51</v>
      </c>
      <c r="N28" s="73" t="s">
        <v>56</v>
      </c>
      <c r="O28" s="73" t="s">
        <v>153</v>
      </c>
      <c r="P28" s="58" t="s">
        <v>423</v>
      </c>
      <c r="R28" s="79">
        <v>0</v>
      </c>
      <c r="S28" s="79">
        <v>0</v>
      </c>
      <c r="T28" s="79">
        <v>0</v>
      </c>
      <c r="U28" s="79">
        <v>0</v>
      </c>
      <c r="V28" s="79">
        <v>0</v>
      </c>
      <c r="W28" s="80">
        <v>0</v>
      </c>
      <c r="X28" s="81">
        <v>0</v>
      </c>
      <c r="Y28" s="77">
        <v>0</v>
      </c>
      <c r="Z28" s="84" t="str">
        <f t="shared" si="2"/>
        <v>CFG_REFBIAS</v>
      </c>
      <c r="AA28" s="7" t="str">
        <f>"0X"&amp;BIN2HEX(_xlfn.CONCAT(R28:Y28),2)</f>
        <v>0X00</v>
      </c>
    </row>
    <row r="29" spans="2:27">
      <c r="B29" s="66"/>
      <c r="C29" s="58" t="s">
        <v>62</v>
      </c>
      <c r="D29" s="59" t="s">
        <v>424</v>
      </c>
      <c r="E29" s="59" t="s">
        <v>380</v>
      </c>
      <c r="F29" s="59" t="s">
        <v>106</v>
      </c>
      <c r="G29" s="59" t="s">
        <v>106</v>
      </c>
      <c r="H29" s="58"/>
      <c r="I29" s="58"/>
      <c r="J29" s="73" t="s">
        <v>425</v>
      </c>
      <c r="K29" s="73"/>
      <c r="L29" s="73" t="s">
        <v>426</v>
      </c>
      <c r="M29" s="73"/>
      <c r="N29" s="73" t="s">
        <v>427</v>
      </c>
      <c r="O29" s="73"/>
      <c r="P29" s="58" t="s">
        <v>428</v>
      </c>
      <c r="R29" s="82">
        <v>0</v>
      </c>
      <c r="S29" s="82">
        <v>0</v>
      </c>
      <c r="T29" s="83">
        <v>0</v>
      </c>
      <c r="U29" s="83">
        <v>0</v>
      </c>
      <c r="V29" s="83">
        <v>0</v>
      </c>
      <c r="W29" s="83">
        <v>0</v>
      </c>
      <c r="X29" s="83">
        <v>0</v>
      </c>
      <c r="Y29" s="83">
        <v>0</v>
      </c>
      <c r="Z29" s="84" t="str">
        <f t="shared" si="2"/>
        <v>CFG_IO</v>
      </c>
      <c r="AA29" s="7" t="str">
        <f t="shared" ref="AA29:AA54" si="4">"0X"&amp;BIN2HEX(_xlfn.CONCAT(R29:Y29),2)</f>
        <v>0X00</v>
      </c>
    </row>
    <row r="30" spans="2:27">
      <c r="B30" s="66"/>
      <c r="C30" s="58" t="s">
        <v>429</v>
      </c>
      <c r="D30" s="59" t="s">
        <v>430</v>
      </c>
      <c r="E30" s="59" t="s">
        <v>380</v>
      </c>
      <c r="F30" s="59" t="s">
        <v>106</v>
      </c>
      <c r="G30" s="59" t="s">
        <v>106</v>
      </c>
      <c r="H30" s="58"/>
      <c r="I30" s="58"/>
      <c r="J30" s="58"/>
      <c r="K30" s="73" t="s">
        <v>431</v>
      </c>
      <c r="L30" s="73"/>
      <c r="M30" s="73"/>
      <c r="N30" s="73"/>
      <c r="O30" s="73"/>
      <c r="P30" s="58" t="s">
        <v>432</v>
      </c>
      <c r="R30" s="82"/>
      <c r="S30" s="82"/>
      <c r="T30" s="82"/>
      <c r="U30" s="83">
        <v>0</v>
      </c>
      <c r="V30" s="83">
        <v>0</v>
      </c>
      <c r="W30" s="83">
        <v>0</v>
      </c>
      <c r="X30" s="83">
        <v>0</v>
      </c>
      <c r="Y30" s="83">
        <v>0</v>
      </c>
      <c r="Z30" s="84" t="str">
        <f t="shared" si="2"/>
        <v>CFG_PGATE</v>
      </c>
      <c r="AA30" s="7" t="str">
        <f t="shared" si="4"/>
        <v>0X00</v>
      </c>
    </row>
    <row r="31" spans="2:27">
      <c r="B31" s="66"/>
      <c r="C31" s="58" t="s">
        <v>433</v>
      </c>
      <c r="D31" s="59" t="s">
        <v>434</v>
      </c>
      <c r="E31" s="59" t="s">
        <v>380</v>
      </c>
      <c r="F31" s="59" t="s">
        <v>106</v>
      </c>
      <c r="G31" s="59" t="s">
        <v>106</v>
      </c>
      <c r="H31" s="73" t="s">
        <v>433</v>
      </c>
      <c r="I31" s="73"/>
      <c r="J31" s="73"/>
      <c r="K31" s="73"/>
      <c r="L31" s="73"/>
      <c r="M31" s="73"/>
      <c r="N31" s="73"/>
      <c r="O31" s="73"/>
      <c r="P31" s="58" t="s">
        <v>435</v>
      </c>
      <c r="R31" s="83">
        <v>0</v>
      </c>
      <c r="S31" s="83">
        <v>0</v>
      </c>
      <c r="T31" s="83">
        <v>0</v>
      </c>
      <c r="U31" s="83">
        <v>0</v>
      </c>
      <c r="V31" s="83">
        <v>0</v>
      </c>
      <c r="W31" s="83">
        <v>0</v>
      </c>
      <c r="X31" s="83">
        <v>0</v>
      </c>
      <c r="Y31" s="83">
        <v>0</v>
      </c>
      <c r="Z31" s="84" t="str">
        <f t="shared" si="2"/>
        <v>CFG_SPARE</v>
      </c>
      <c r="AA31" s="7" t="str">
        <f t="shared" si="4"/>
        <v>0X00</v>
      </c>
    </row>
    <row r="32" ht="15" customHeight="1" spans="2:27">
      <c r="B32" s="66" t="s">
        <v>436</v>
      </c>
      <c r="C32" s="58" t="s">
        <v>83</v>
      </c>
      <c r="D32" s="59" t="s">
        <v>437</v>
      </c>
      <c r="E32" s="59" t="s">
        <v>380</v>
      </c>
      <c r="F32" s="59" t="s">
        <v>106</v>
      </c>
      <c r="G32" s="59" t="s">
        <v>106</v>
      </c>
      <c r="H32" s="58"/>
      <c r="I32" s="58"/>
      <c r="J32" s="58"/>
      <c r="K32" s="58"/>
      <c r="L32" s="73" t="s">
        <v>88</v>
      </c>
      <c r="M32" s="73"/>
      <c r="N32" s="73" t="s">
        <v>90</v>
      </c>
      <c r="O32" s="73" t="s">
        <v>215</v>
      </c>
      <c r="P32" s="58" t="s">
        <v>438</v>
      </c>
      <c r="R32" s="82">
        <v>0</v>
      </c>
      <c r="S32" s="82">
        <v>0</v>
      </c>
      <c r="T32" s="82">
        <v>0</v>
      </c>
      <c r="U32" s="82">
        <v>0</v>
      </c>
      <c r="V32" s="83">
        <v>0</v>
      </c>
      <c r="W32" s="83">
        <v>1</v>
      </c>
      <c r="X32" s="84">
        <v>0</v>
      </c>
      <c r="Y32" s="84">
        <v>0</v>
      </c>
      <c r="Z32" s="84" t="str">
        <f t="shared" si="2"/>
        <v>CFG_CPCLK0</v>
      </c>
      <c r="AA32" s="7" t="str">
        <f t="shared" si="4"/>
        <v>0X04</v>
      </c>
    </row>
    <row r="33" spans="2:27">
      <c r="B33" s="66"/>
      <c r="C33" s="58" t="s">
        <v>439</v>
      </c>
      <c r="D33" s="59" t="s">
        <v>440</v>
      </c>
      <c r="E33" s="59" t="s">
        <v>380</v>
      </c>
      <c r="F33" s="59" t="s">
        <v>330</v>
      </c>
      <c r="G33" s="59" t="s">
        <v>330</v>
      </c>
      <c r="H33" s="73" t="s">
        <v>441</v>
      </c>
      <c r="I33" s="73"/>
      <c r="J33" s="73"/>
      <c r="K33" s="73"/>
      <c r="L33" s="73"/>
      <c r="M33" s="73"/>
      <c r="N33" s="73"/>
      <c r="O33" s="73"/>
      <c r="P33" s="58" t="s">
        <v>438</v>
      </c>
      <c r="R33" s="83">
        <v>0</v>
      </c>
      <c r="S33" s="83">
        <v>1</v>
      </c>
      <c r="T33" s="83">
        <v>1</v>
      </c>
      <c r="U33" s="83">
        <v>1</v>
      </c>
      <c r="V33" s="83">
        <v>1</v>
      </c>
      <c r="W33" s="83">
        <v>0</v>
      </c>
      <c r="X33" s="83">
        <v>0</v>
      </c>
      <c r="Y33" s="83">
        <v>0</v>
      </c>
      <c r="Z33" s="84" t="str">
        <f t="shared" si="2"/>
        <v>CFG_CPCLK1</v>
      </c>
      <c r="AA33" s="7" t="str">
        <f t="shared" si="4"/>
        <v>0X78</v>
      </c>
    </row>
    <row r="34" spans="2:27">
      <c r="B34" s="66"/>
      <c r="C34" s="58" t="s">
        <v>442</v>
      </c>
      <c r="D34" s="59" t="s">
        <v>443</v>
      </c>
      <c r="E34" s="59" t="s">
        <v>380</v>
      </c>
      <c r="F34" s="59" t="s">
        <v>106</v>
      </c>
      <c r="G34" s="59" t="s">
        <v>106</v>
      </c>
      <c r="H34" s="58"/>
      <c r="I34" s="58"/>
      <c r="J34" s="58"/>
      <c r="K34" s="58"/>
      <c r="L34" s="73" t="s">
        <v>444</v>
      </c>
      <c r="M34" s="73"/>
      <c r="N34" s="73"/>
      <c r="O34" s="73"/>
      <c r="P34" s="58" t="s">
        <v>438</v>
      </c>
      <c r="R34" s="82">
        <v>0</v>
      </c>
      <c r="S34" s="82">
        <v>0</v>
      </c>
      <c r="T34" s="82">
        <v>0</v>
      </c>
      <c r="U34" s="82">
        <v>0</v>
      </c>
      <c r="V34" s="83">
        <v>0</v>
      </c>
      <c r="W34" s="83">
        <v>0</v>
      </c>
      <c r="X34" s="83">
        <v>0</v>
      </c>
      <c r="Y34" s="83">
        <v>0</v>
      </c>
      <c r="Z34" s="84" t="str">
        <f t="shared" si="2"/>
        <v>CFG_CPCLK2</v>
      </c>
      <c r="AA34" s="7" t="str">
        <f t="shared" si="4"/>
        <v>0X00</v>
      </c>
    </row>
    <row r="35" spans="2:27">
      <c r="B35" s="66"/>
      <c r="C35" s="58" t="s">
        <v>445</v>
      </c>
      <c r="D35" s="59" t="s">
        <v>446</v>
      </c>
      <c r="E35" s="59" t="s">
        <v>380</v>
      </c>
      <c r="F35" s="59" t="s">
        <v>336</v>
      </c>
      <c r="G35" s="59" t="s">
        <v>336</v>
      </c>
      <c r="H35" s="58"/>
      <c r="I35" s="73" t="s">
        <v>447</v>
      </c>
      <c r="J35" s="73"/>
      <c r="K35" s="73"/>
      <c r="L35" s="73"/>
      <c r="M35" s="73"/>
      <c r="N35" s="73"/>
      <c r="O35" s="73"/>
      <c r="P35" s="58" t="s">
        <v>438</v>
      </c>
      <c r="R35" s="82">
        <v>0</v>
      </c>
      <c r="S35" s="83">
        <v>1</v>
      </c>
      <c r="T35" s="83">
        <v>1</v>
      </c>
      <c r="U35" s="83">
        <v>1</v>
      </c>
      <c r="V35" s="83">
        <v>1</v>
      </c>
      <c r="W35" s="83">
        <v>1</v>
      </c>
      <c r="X35" s="83">
        <v>1</v>
      </c>
      <c r="Y35" s="83">
        <v>0</v>
      </c>
      <c r="Z35" s="84" t="str">
        <f t="shared" si="2"/>
        <v>CFG_CPCLK3</v>
      </c>
      <c r="AA35" s="7" t="str">
        <f t="shared" si="4"/>
        <v>0X7E</v>
      </c>
    </row>
    <row r="36" spans="2:27">
      <c r="B36" s="66"/>
      <c r="C36" s="58" t="s">
        <v>448</v>
      </c>
      <c r="D36" s="59" t="s">
        <v>449</v>
      </c>
      <c r="E36" s="59" t="s">
        <v>380</v>
      </c>
      <c r="F36" s="59" t="s">
        <v>151</v>
      </c>
      <c r="G36" s="59" t="s">
        <v>151</v>
      </c>
      <c r="H36" s="73" t="s">
        <v>450</v>
      </c>
      <c r="I36" s="73"/>
      <c r="J36" s="73"/>
      <c r="K36" s="73"/>
      <c r="L36" s="73"/>
      <c r="M36" s="73"/>
      <c r="N36" s="73"/>
      <c r="O36" s="73"/>
      <c r="P36" s="58" t="s">
        <v>438</v>
      </c>
      <c r="R36" s="83">
        <v>0</v>
      </c>
      <c r="S36" s="83">
        <v>0</v>
      </c>
      <c r="T36" s="83">
        <v>0</v>
      </c>
      <c r="U36" s="83">
        <v>1</v>
      </c>
      <c r="V36" s="83">
        <v>0</v>
      </c>
      <c r="W36" s="83">
        <v>0</v>
      </c>
      <c r="X36" s="83">
        <v>0</v>
      </c>
      <c r="Y36" s="83">
        <v>0</v>
      </c>
      <c r="Z36" s="84" t="str">
        <f t="shared" si="2"/>
        <v>CFG_CPCLK4</v>
      </c>
      <c r="AA36" s="7" t="str">
        <f t="shared" si="4"/>
        <v>0X10</v>
      </c>
    </row>
    <row r="37" spans="2:27">
      <c r="B37" s="66"/>
      <c r="C37" s="58" t="s">
        <v>451</v>
      </c>
      <c r="D37" s="59" t="s">
        <v>452</v>
      </c>
      <c r="E37" s="59" t="s">
        <v>380</v>
      </c>
      <c r="F37" s="59" t="s">
        <v>106</v>
      </c>
      <c r="G37" s="59" t="s">
        <v>289</v>
      </c>
      <c r="H37" s="73" t="s">
        <v>453</v>
      </c>
      <c r="I37" s="73"/>
      <c r="J37" s="73"/>
      <c r="K37" s="73"/>
      <c r="L37" s="73"/>
      <c r="M37" s="73"/>
      <c r="N37" s="73"/>
      <c r="O37" s="73"/>
      <c r="P37" s="58" t="s">
        <v>438</v>
      </c>
      <c r="R37" s="83">
        <v>0</v>
      </c>
      <c r="S37" s="83">
        <v>1</v>
      </c>
      <c r="T37" s="83">
        <v>0</v>
      </c>
      <c r="U37" s="83">
        <v>1</v>
      </c>
      <c r="V37" s="83">
        <v>0</v>
      </c>
      <c r="W37" s="83">
        <v>0</v>
      </c>
      <c r="X37" s="83">
        <v>0</v>
      </c>
      <c r="Y37" s="83">
        <v>0</v>
      </c>
      <c r="Z37" s="84" t="str">
        <f t="shared" si="2"/>
        <v>CFG_CPCLK5</v>
      </c>
      <c r="AA37" s="7" t="str">
        <f t="shared" si="4"/>
        <v>0X50</v>
      </c>
    </row>
    <row r="38" spans="2:27">
      <c r="B38" s="66"/>
      <c r="C38" s="58" t="s">
        <v>454</v>
      </c>
      <c r="D38" s="59" t="s">
        <v>455</v>
      </c>
      <c r="E38" s="59" t="s">
        <v>380</v>
      </c>
      <c r="F38" s="59" t="s">
        <v>106</v>
      </c>
      <c r="G38" s="59" t="s">
        <v>106</v>
      </c>
      <c r="H38" s="58"/>
      <c r="I38" s="58"/>
      <c r="J38" s="58"/>
      <c r="K38" s="58"/>
      <c r="L38" s="73" t="s">
        <v>456</v>
      </c>
      <c r="M38" s="73"/>
      <c r="N38" s="73"/>
      <c r="O38" s="73"/>
      <c r="P38" s="58" t="s">
        <v>438</v>
      </c>
      <c r="R38" s="82">
        <v>0</v>
      </c>
      <c r="S38" s="82">
        <v>0</v>
      </c>
      <c r="T38" s="82">
        <v>0</v>
      </c>
      <c r="U38" s="82">
        <v>0</v>
      </c>
      <c r="V38" s="83">
        <v>0</v>
      </c>
      <c r="W38" s="83">
        <v>0</v>
      </c>
      <c r="X38" s="83">
        <v>0</v>
      </c>
      <c r="Y38" s="83">
        <v>0</v>
      </c>
      <c r="Z38" s="84" t="str">
        <f t="shared" si="2"/>
        <v>CFG_CPCLK6</v>
      </c>
      <c r="AA38" s="7" t="str">
        <f t="shared" si="4"/>
        <v>0X00</v>
      </c>
    </row>
    <row r="39" spans="2:27">
      <c r="B39" s="66"/>
      <c r="C39" s="58" t="s">
        <v>457</v>
      </c>
      <c r="D39" s="59" t="s">
        <v>458</v>
      </c>
      <c r="E39" s="59" t="s">
        <v>380</v>
      </c>
      <c r="F39" s="59" t="s">
        <v>459</v>
      </c>
      <c r="G39" s="59" t="s">
        <v>460</v>
      </c>
      <c r="H39" s="73" t="s">
        <v>461</v>
      </c>
      <c r="I39" s="73"/>
      <c r="J39" s="73"/>
      <c r="K39" s="73"/>
      <c r="L39" s="73"/>
      <c r="M39" s="73"/>
      <c r="N39" s="73"/>
      <c r="O39" s="73"/>
      <c r="P39" s="58" t="s">
        <v>438</v>
      </c>
      <c r="R39" s="83">
        <v>1</v>
      </c>
      <c r="S39" s="83">
        <v>0</v>
      </c>
      <c r="T39" s="83">
        <v>1</v>
      </c>
      <c r="U39" s="83">
        <v>1</v>
      </c>
      <c r="V39" s="83">
        <v>0</v>
      </c>
      <c r="W39" s="83">
        <v>0</v>
      </c>
      <c r="X39" s="83">
        <v>0</v>
      </c>
      <c r="Y39" s="83">
        <v>0</v>
      </c>
      <c r="Z39" s="84" t="str">
        <f t="shared" si="2"/>
        <v>CFG_CPCLK7</v>
      </c>
      <c r="AA39" s="7" t="str">
        <f t="shared" si="4"/>
        <v>0XB0</v>
      </c>
    </row>
    <row r="40" spans="2:27">
      <c r="B40" s="66"/>
      <c r="C40" s="58" t="s">
        <v>462</v>
      </c>
      <c r="D40" s="59" t="s">
        <v>463</v>
      </c>
      <c r="E40" s="59" t="s">
        <v>380</v>
      </c>
      <c r="F40" s="59" t="s">
        <v>149</v>
      </c>
      <c r="G40" s="59" t="s">
        <v>121</v>
      </c>
      <c r="H40" s="58"/>
      <c r="I40" s="58"/>
      <c r="J40" s="58"/>
      <c r="K40" s="58"/>
      <c r="L40" s="73" t="s">
        <v>464</v>
      </c>
      <c r="M40" s="73"/>
      <c r="N40" s="73"/>
      <c r="O40" s="73"/>
      <c r="P40" s="58" t="s">
        <v>438</v>
      </c>
      <c r="R40" s="82">
        <v>0</v>
      </c>
      <c r="S40" s="82">
        <v>0</v>
      </c>
      <c r="T40" s="82">
        <v>0</v>
      </c>
      <c r="U40" s="82">
        <v>0</v>
      </c>
      <c r="V40" s="83">
        <v>0</v>
      </c>
      <c r="W40" s="83">
        <v>1</v>
      </c>
      <c r="X40" s="83">
        <v>0</v>
      </c>
      <c r="Y40" s="83">
        <v>0</v>
      </c>
      <c r="Z40" s="84" t="str">
        <f t="shared" si="2"/>
        <v>CFG_CPCLK8</v>
      </c>
      <c r="AA40" s="7" t="str">
        <f t="shared" si="4"/>
        <v>0X04</v>
      </c>
    </row>
    <row r="41" spans="2:27">
      <c r="B41" s="66"/>
      <c r="C41" s="58" t="s">
        <v>465</v>
      </c>
      <c r="D41" s="59" t="s">
        <v>466</v>
      </c>
      <c r="E41" s="59" t="s">
        <v>380</v>
      </c>
      <c r="F41" s="59" t="s">
        <v>467</v>
      </c>
      <c r="G41" s="59" t="s">
        <v>467</v>
      </c>
      <c r="H41" s="73" t="s">
        <v>468</v>
      </c>
      <c r="I41" s="73"/>
      <c r="J41" s="73"/>
      <c r="K41" s="73"/>
      <c r="L41" s="73" t="s">
        <v>469</v>
      </c>
      <c r="M41" s="73"/>
      <c r="N41" s="73"/>
      <c r="O41" s="73"/>
      <c r="P41" s="58" t="s">
        <v>470</v>
      </c>
      <c r="R41" s="83">
        <v>1</v>
      </c>
      <c r="S41" s="83">
        <v>0</v>
      </c>
      <c r="T41" s="83">
        <v>1</v>
      </c>
      <c r="U41" s="83">
        <v>1</v>
      </c>
      <c r="V41" s="83">
        <v>1</v>
      </c>
      <c r="W41" s="83">
        <v>0</v>
      </c>
      <c r="X41" s="83">
        <v>1</v>
      </c>
      <c r="Y41" s="83">
        <v>1</v>
      </c>
      <c r="Z41" s="84" t="str">
        <f t="shared" si="2"/>
        <v>CFG_CLKSS</v>
      </c>
      <c r="AA41" s="7" t="str">
        <f t="shared" si="4"/>
        <v>0XBB</v>
      </c>
    </row>
    <row r="42" spans="2:27">
      <c r="B42" s="66"/>
      <c r="C42" s="58" t="s">
        <v>471</v>
      </c>
      <c r="D42" s="59" t="s">
        <v>472</v>
      </c>
      <c r="E42" s="59" t="s">
        <v>380</v>
      </c>
      <c r="F42" s="59" t="s">
        <v>106</v>
      </c>
      <c r="G42" s="59" t="s">
        <v>106</v>
      </c>
      <c r="H42" s="58"/>
      <c r="I42" s="58"/>
      <c r="J42" s="73" t="s">
        <v>173</v>
      </c>
      <c r="K42" s="73" t="s">
        <v>174</v>
      </c>
      <c r="L42" s="73" t="s">
        <v>175</v>
      </c>
      <c r="M42" s="73" t="s">
        <v>163</v>
      </c>
      <c r="N42" s="73" t="s">
        <v>164</v>
      </c>
      <c r="O42" s="73" t="s">
        <v>165</v>
      </c>
      <c r="P42" s="58" t="s">
        <v>473</v>
      </c>
      <c r="R42" s="85">
        <v>0</v>
      </c>
      <c r="S42" s="86">
        <v>0</v>
      </c>
      <c r="T42" s="87">
        <v>0</v>
      </c>
      <c r="U42" s="87">
        <v>0</v>
      </c>
      <c r="V42" s="87">
        <v>0</v>
      </c>
      <c r="W42" s="87">
        <v>0</v>
      </c>
      <c r="X42" s="87">
        <v>0</v>
      </c>
      <c r="Y42" s="99">
        <v>0</v>
      </c>
      <c r="Z42" s="84" t="str">
        <f t="shared" si="2"/>
        <v>CFG_BLANK0</v>
      </c>
      <c r="AA42" s="7" t="str">
        <f t="shared" si="4"/>
        <v>0X00</v>
      </c>
    </row>
    <row r="43" spans="2:27">
      <c r="B43" s="66"/>
      <c r="C43" s="58" t="s">
        <v>474</v>
      </c>
      <c r="D43" s="59" t="s">
        <v>475</v>
      </c>
      <c r="E43" s="59" t="s">
        <v>380</v>
      </c>
      <c r="F43" s="59" t="s">
        <v>106</v>
      </c>
      <c r="G43" s="59" t="s">
        <v>106</v>
      </c>
      <c r="H43" s="58"/>
      <c r="I43" s="58"/>
      <c r="J43" s="58"/>
      <c r="K43" s="73" t="s">
        <v>168</v>
      </c>
      <c r="L43" s="73" t="s">
        <v>169</v>
      </c>
      <c r="M43" s="73" t="s">
        <v>170</v>
      </c>
      <c r="N43" s="73" t="s">
        <v>171</v>
      </c>
      <c r="O43" s="73" t="s">
        <v>172</v>
      </c>
      <c r="P43" s="58" t="s">
        <v>473</v>
      </c>
      <c r="R43" s="62">
        <v>0</v>
      </c>
      <c r="S43" s="70">
        <v>0</v>
      </c>
      <c r="T43" s="67">
        <v>0</v>
      </c>
      <c r="U43" s="73">
        <v>0</v>
      </c>
      <c r="V43" s="73">
        <v>0</v>
      </c>
      <c r="W43" s="73">
        <v>0</v>
      </c>
      <c r="X43" s="73">
        <v>0</v>
      </c>
      <c r="Y43" s="65">
        <v>0</v>
      </c>
      <c r="Z43" s="84" t="str">
        <f t="shared" si="2"/>
        <v>CFG_BLANK1</v>
      </c>
      <c r="AA43" s="7" t="str">
        <f t="shared" si="4"/>
        <v>0X00</v>
      </c>
    </row>
    <row r="44" spans="2:27">
      <c r="B44" s="66"/>
      <c r="C44" s="58" t="s">
        <v>476</v>
      </c>
      <c r="D44" s="59" t="s">
        <v>477</v>
      </c>
      <c r="E44" s="59" t="s">
        <v>380</v>
      </c>
      <c r="F44" s="59" t="s">
        <v>106</v>
      </c>
      <c r="G44" s="59" t="s">
        <v>106</v>
      </c>
      <c r="H44" s="58"/>
      <c r="I44" s="58"/>
      <c r="J44" s="58"/>
      <c r="K44" s="73" t="s">
        <v>174</v>
      </c>
      <c r="L44" s="73" t="s">
        <v>175</v>
      </c>
      <c r="M44" s="73" t="s">
        <v>163</v>
      </c>
      <c r="N44" s="58"/>
      <c r="O44" s="58"/>
      <c r="P44" s="58" t="s">
        <v>478</v>
      </c>
      <c r="R44" s="88">
        <v>1</v>
      </c>
      <c r="S44" s="89">
        <v>0</v>
      </c>
      <c r="T44" s="88">
        <v>1</v>
      </c>
      <c r="U44" s="89">
        <v>0</v>
      </c>
      <c r="V44" s="88">
        <v>0</v>
      </c>
      <c r="W44" s="89">
        <v>0</v>
      </c>
      <c r="X44" s="88">
        <v>1</v>
      </c>
      <c r="Y44" s="100">
        <v>0</v>
      </c>
      <c r="Z44" s="84" t="str">
        <f t="shared" si="2"/>
        <v>CFG_LATCH0</v>
      </c>
      <c r="AA44" s="7" t="str">
        <f t="shared" si="4"/>
        <v>0XA2</v>
      </c>
    </row>
    <row r="45" spans="2:27">
      <c r="B45" s="66"/>
      <c r="C45" s="58" t="s">
        <v>479</v>
      </c>
      <c r="D45" s="59" t="s">
        <v>480</v>
      </c>
      <c r="E45" s="59" t="s">
        <v>380</v>
      </c>
      <c r="F45" s="59" t="s">
        <v>106</v>
      </c>
      <c r="G45" s="59" t="s">
        <v>106</v>
      </c>
      <c r="H45" s="58"/>
      <c r="I45" s="58"/>
      <c r="J45" s="73" t="s">
        <v>179</v>
      </c>
      <c r="K45" s="58"/>
      <c r="L45" s="58"/>
      <c r="M45" s="58"/>
      <c r="N45" s="58"/>
      <c r="O45" s="58"/>
      <c r="P45" s="58" t="s">
        <v>478</v>
      </c>
      <c r="R45" s="88">
        <v>1</v>
      </c>
      <c r="S45" s="89">
        <v>0</v>
      </c>
      <c r="T45" s="88">
        <v>1</v>
      </c>
      <c r="U45" s="89">
        <v>0</v>
      </c>
      <c r="V45" s="88">
        <v>1</v>
      </c>
      <c r="W45" s="89">
        <v>0</v>
      </c>
      <c r="X45" s="88">
        <v>1</v>
      </c>
      <c r="Y45" s="100">
        <v>0</v>
      </c>
      <c r="Z45" s="84" t="str">
        <f t="shared" si="2"/>
        <v>CFG_LATCH1</v>
      </c>
      <c r="AA45" s="7" t="str">
        <f t="shared" si="4"/>
        <v>0XAA</v>
      </c>
    </row>
    <row r="46" spans="2:27">
      <c r="B46" s="66"/>
      <c r="C46" s="58" t="s">
        <v>481</v>
      </c>
      <c r="D46" s="59" t="s">
        <v>482</v>
      </c>
      <c r="E46" s="59" t="s">
        <v>380</v>
      </c>
      <c r="F46" s="59" t="s">
        <v>483</v>
      </c>
      <c r="G46" s="59" t="s">
        <v>483</v>
      </c>
      <c r="H46" s="73" t="s">
        <v>484</v>
      </c>
      <c r="I46" s="73"/>
      <c r="J46" s="73" t="s">
        <v>485</v>
      </c>
      <c r="K46" s="73"/>
      <c r="L46" s="73" t="s">
        <v>486</v>
      </c>
      <c r="M46" s="73"/>
      <c r="N46" s="73" t="s">
        <v>487</v>
      </c>
      <c r="O46" s="73"/>
      <c r="P46" s="58" t="s">
        <v>488</v>
      </c>
      <c r="R46" s="88">
        <v>1</v>
      </c>
      <c r="S46" s="89">
        <v>0</v>
      </c>
      <c r="T46" s="88">
        <v>1</v>
      </c>
      <c r="U46" s="89">
        <v>0</v>
      </c>
      <c r="V46" s="88">
        <v>1</v>
      </c>
      <c r="W46" s="89">
        <v>0</v>
      </c>
      <c r="X46" s="88">
        <v>1</v>
      </c>
      <c r="Y46" s="100">
        <v>0</v>
      </c>
      <c r="Z46" s="84" t="str">
        <f t="shared" si="2"/>
        <v>CFG_DEGLITCH0</v>
      </c>
      <c r="AA46" s="7" t="str">
        <f t="shared" si="4"/>
        <v>0XAA</v>
      </c>
    </row>
    <row r="47" spans="2:27">
      <c r="B47" s="66"/>
      <c r="C47" s="58" t="s">
        <v>489</v>
      </c>
      <c r="D47" s="59" t="s">
        <v>490</v>
      </c>
      <c r="E47" s="59" t="s">
        <v>380</v>
      </c>
      <c r="F47" s="59" t="s">
        <v>491</v>
      </c>
      <c r="G47" s="59" t="s">
        <v>491</v>
      </c>
      <c r="H47" s="73" t="s">
        <v>165</v>
      </c>
      <c r="I47" s="73"/>
      <c r="J47" s="73" t="s">
        <v>164</v>
      </c>
      <c r="K47" s="73"/>
      <c r="L47" s="73" t="s">
        <v>171</v>
      </c>
      <c r="M47" s="73"/>
      <c r="N47" s="73" t="s">
        <v>172</v>
      </c>
      <c r="O47" s="73"/>
      <c r="P47" s="58" t="s">
        <v>488</v>
      </c>
      <c r="R47" s="62">
        <v>0</v>
      </c>
      <c r="S47" s="70">
        <v>0</v>
      </c>
      <c r="T47" s="70">
        <v>0</v>
      </c>
      <c r="U47" s="67">
        <v>0</v>
      </c>
      <c r="V47" s="88">
        <v>1</v>
      </c>
      <c r="W47" s="90">
        <v>0</v>
      </c>
      <c r="X47" s="91">
        <v>1</v>
      </c>
      <c r="Y47" s="92">
        <v>0</v>
      </c>
      <c r="Z47" s="84" t="str">
        <f t="shared" si="2"/>
        <v>CFG_DEGLITCH1</v>
      </c>
      <c r="AA47" s="7" t="str">
        <f t="shared" si="4"/>
        <v>0X0A</v>
      </c>
    </row>
    <row r="48" spans="2:27">
      <c r="B48" s="66"/>
      <c r="C48" s="58" t="s">
        <v>492</v>
      </c>
      <c r="D48" s="59" t="s">
        <v>493</v>
      </c>
      <c r="E48" s="59" t="s">
        <v>380</v>
      </c>
      <c r="F48" s="59" t="s">
        <v>491</v>
      </c>
      <c r="G48" s="59" t="s">
        <v>491</v>
      </c>
      <c r="H48" s="73" t="s">
        <v>173</v>
      </c>
      <c r="I48" s="73"/>
      <c r="J48" s="73" t="s">
        <v>168</v>
      </c>
      <c r="K48" s="73"/>
      <c r="L48" s="73" t="s">
        <v>169</v>
      </c>
      <c r="M48" s="73"/>
      <c r="N48" s="73" t="s">
        <v>170</v>
      </c>
      <c r="O48" s="73"/>
      <c r="P48" s="58" t="s">
        <v>488</v>
      </c>
      <c r="R48" s="58">
        <v>0</v>
      </c>
      <c r="S48" s="91">
        <v>0</v>
      </c>
      <c r="T48" s="92">
        <v>1</v>
      </c>
      <c r="U48" s="90">
        <v>0</v>
      </c>
      <c r="V48" s="93">
        <v>0</v>
      </c>
      <c r="W48" s="94">
        <v>1</v>
      </c>
      <c r="X48" s="94">
        <v>0</v>
      </c>
      <c r="Y48" s="94">
        <v>0</v>
      </c>
      <c r="Z48" s="84" t="str">
        <f t="shared" si="2"/>
        <v>CFG_DEGLITCH2</v>
      </c>
      <c r="AA48" s="7" t="str">
        <f t="shared" si="4"/>
        <v>0X24</v>
      </c>
    </row>
    <row r="49" spans="2:27">
      <c r="B49" s="66"/>
      <c r="C49" s="58" t="s">
        <v>494</v>
      </c>
      <c r="D49" s="59" t="s">
        <v>495</v>
      </c>
      <c r="E49" s="59" t="s">
        <v>380</v>
      </c>
      <c r="F49" s="59" t="s">
        <v>114</v>
      </c>
      <c r="G49" s="59" t="s">
        <v>114</v>
      </c>
      <c r="H49" s="58"/>
      <c r="I49" s="58"/>
      <c r="J49" s="58"/>
      <c r="K49" s="58"/>
      <c r="L49" s="58"/>
      <c r="M49" s="58"/>
      <c r="N49" s="73" t="s">
        <v>496</v>
      </c>
      <c r="O49" s="73"/>
      <c r="P49" s="58" t="s">
        <v>488</v>
      </c>
      <c r="R49" s="62">
        <v>0</v>
      </c>
      <c r="S49" s="83">
        <v>0</v>
      </c>
      <c r="T49" s="83">
        <v>1</v>
      </c>
      <c r="U49" s="83">
        <v>0</v>
      </c>
      <c r="V49" s="82">
        <v>0</v>
      </c>
      <c r="W49" s="83">
        <v>0</v>
      </c>
      <c r="X49" s="83">
        <v>1</v>
      </c>
      <c r="Y49" s="83">
        <v>0</v>
      </c>
      <c r="Z49" s="84" t="str">
        <f t="shared" si="2"/>
        <v>CFG_DEGLITCH3</v>
      </c>
      <c r="AA49" s="7" t="str">
        <f t="shared" si="4"/>
        <v>0X22</v>
      </c>
    </row>
    <row r="50" spans="2:27">
      <c r="B50" s="66"/>
      <c r="C50" s="58" t="s">
        <v>497</v>
      </c>
      <c r="D50" s="59" t="s">
        <v>498</v>
      </c>
      <c r="E50" s="59" t="s">
        <v>380</v>
      </c>
      <c r="F50" s="59" t="s">
        <v>106</v>
      </c>
      <c r="G50" s="59" t="s">
        <v>234</v>
      </c>
      <c r="H50" s="58"/>
      <c r="I50" s="73" t="s">
        <v>499</v>
      </c>
      <c r="J50" s="73"/>
      <c r="K50" s="73"/>
      <c r="L50" s="58"/>
      <c r="M50" s="73" t="s">
        <v>500</v>
      </c>
      <c r="N50" s="73"/>
      <c r="O50" s="73"/>
      <c r="P50" s="58" t="s">
        <v>501</v>
      </c>
      <c r="R50" s="62">
        <v>0</v>
      </c>
      <c r="S50" s="83">
        <v>1</v>
      </c>
      <c r="T50" s="83">
        <v>0</v>
      </c>
      <c r="U50" s="83">
        <v>1</v>
      </c>
      <c r="V50" s="82">
        <v>0</v>
      </c>
      <c r="W50" s="83">
        <v>0</v>
      </c>
      <c r="X50" s="83">
        <v>1</v>
      </c>
      <c r="Y50" s="83">
        <v>0</v>
      </c>
      <c r="Z50" s="84" t="str">
        <f t="shared" si="2"/>
        <v>CFG_PTIME0</v>
      </c>
      <c r="AA50" s="7" t="str">
        <f t="shared" si="4"/>
        <v>0X52</v>
      </c>
    </row>
    <row r="51" spans="2:27">
      <c r="B51" s="66"/>
      <c r="C51" s="58" t="s">
        <v>502</v>
      </c>
      <c r="D51" s="59" t="s">
        <v>503</v>
      </c>
      <c r="E51" s="59" t="s">
        <v>380</v>
      </c>
      <c r="F51" s="59" t="s">
        <v>106</v>
      </c>
      <c r="G51" s="59" t="s">
        <v>228</v>
      </c>
      <c r="H51" s="58"/>
      <c r="I51" s="73" t="s">
        <v>504</v>
      </c>
      <c r="J51" s="73"/>
      <c r="K51" s="73"/>
      <c r="L51" s="58"/>
      <c r="M51" s="73" t="s">
        <v>505</v>
      </c>
      <c r="N51" s="73"/>
      <c r="O51" s="73"/>
      <c r="P51" s="58" t="s">
        <v>501</v>
      </c>
      <c r="R51" s="62">
        <v>0</v>
      </c>
      <c r="S51" s="83">
        <v>0</v>
      </c>
      <c r="T51" s="83">
        <v>1</v>
      </c>
      <c r="U51" s="83">
        <v>0</v>
      </c>
      <c r="V51" s="82">
        <v>0</v>
      </c>
      <c r="W51" s="83">
        <v>0</v>
      </c>
      <c r="X51" s="83">
        <v>0</v>
      </c>
      <c r="Y51" s="83">
        <v>0</v>
      </c>
      <c r="Z51" s="84" t="str">
        <f t="shared" si="2"/>
        <v>CFG_PTIME1</v>
      </c>
      <c r="AA51" s="7" t="str">
        <f t="shared" si="4"/>
        <v>0X20</v>
      </c>
    </row>
    <row r="52" spans="2:27">
      <c r="B52" s="66"/>
      <c r="C52" s="58" t="s">
        <v>506</v>
      </c>
      <c r="D52" s="59" t="s">
        <v>507</v>
      </c>
      <c r="E52" s="59" t="s">
        <v>380</v>
      </c>
      <c r="F52" s="59" t="s">
        <v>106</v>
      </c>
      <c r="G52" s="59" t="s">
        <v>228</v>
      </c>
      <c r="H52" s="58"/>
      <c r="I52" s="73" t="s">
        <v>508</v>
      </c>
      <c r="J52" s="73"/>
      <c r="K52" s="73"/>
      <c r="L52" s="58"/>
      <c r="M52" s="73" t="s">
        <v>509</v>
      </c>
      <c r="N52" s="73"/>
      <c r="O52" s="73"/>
      <c r="P52" s="58" t="s">
        <v>501</v>
      </c>
      <c r="R52" s="62">
        <v>0</v>
      </c>
      <c r="S52" s="83">
        <v>1</v>
      </c>
      <c r="T52" s="83">
        <v>0</v>
      </c>
      <c r="U52" s="83">
        <v>1</v>
      </c>
      <c r="V52" s="83">
        <v>0</v>
      </c>
      <c r="W52" s="83">
        <v>0</v>
      </c>
      <c r="X52" s="83">
        <v>1</v>
      </c>
      <c r="Y52" s="83">
        <v>1</v>
      </c>
      <c r="Z52" s="84" t="str">
        <f t="shared" si="2"/>
        <v>CFG_PTIME2</v>
      </c>
      <c r="AA52" s="7" t="str">
        <f t="shared" si="4"/>
        <v>0X53</v>
      </c>
    </row>
    <row r="53" spans="2:27">
      <c r="B53" s="66"/>
      <c r="C53" s="58" t="s">
        <v>510</v>
      </c>
      <c r="D53" s="59" t="s">
        <v>511</v>
      </c>
      <c r="E53" s="59" t="s">
        <v>380</v>
      </c>
      <c r="F53" s="59" t="s">
        <v>106</v>
      </c>
      <c r="G53" s="59" t="s">
        <v>221</v>
      </c>
      <c r="H53" s="58"/>
      <c r="I53" s="73" t="s">
        <v>512</v>
      </c>
      <c r="J53" s="73"/>
      <c r="K53" s="73"/>
      <c r="L53" s="58"/>
      <c r="M53" s="73" t="s">
        <v>513</v>
      </c>
      <c r="N53" s="73"/>
      <c r="O53" s="73"/>
      <c r="P53" s="58" t="s">
        <v>501</v>
      </c>
      <c r="R53" s="93">
        <v>0</v>
      </c>
      <c r="S53" s="79">
        <v>0</v>
      </c>
      <c r="T53" s="79">
        <v>0</v>
      </c>
      <c r="U53" s="79">
        <v>0</v>
      </c>
      <c r="V53" s="94">
        <v>1</v>
      </c>
      <c r="W53" s="94">
        <v>0</v>
      </c>
      <c r="X53" s="83">
        <v>1</v>
      </c>
      <c r="Y53" s="83">
        <v>0</v>
      </c>
      <c r="Z53" s="84" t="str">
        <f t="shared" si="2"/>
        <v>CFG_PTIME3</v>
      </c>
      <c r="AA53" s="7" t="str">
        <f t="shared" si="4"/>
        <v>0X0A</v>
      </c>
    </row>
    <row r="54" spans="2:27">
      <c r="B54" s="66"/>
      <c r="C54" s="58" t="s">
        <v>514</v>
      </c>
      <c r="D54" s="59" t="s">
        <v>515</v>
      </c>
      <c r="E54" s="59" t="s">
        <v>380</v>
      </c>
      <c r="F54" s="59" t="s">
        <v>106</v>
      </c>
      <c r="G54" s="59" t="s">
        <v>114</v>
      </c>
      <c r="H54" s="58"/>
      <c r="I54" s="58"/>
      <c r="J54" s="58"/>
      <c r="K54" s="58"/>
      <c r="L54" s="58"/>
      <c r="M54" s="73" t="s">
        <v>516</v>
      </c>
      <c r="N54" s="73"/>
      <c r="O54" s="73"/>
      <c r="P54" s="58" t="s">
        <v>501</v>
      </c>
      <c r="R54" s="82">
        <v>0</v>
      </c>
      <c r="S54" s="82">
        <v>0</v>
      </c>
      <c r="T54" s="82">
        <v>0</v>
      </c>
      <c r="U54" s="82">
        <v>0</v>
      </c>
      <c r="V54" s="82">
        <v>0</v>
      </c>
      <c r="W54" s="82">
        <v>0</v>
      </c>
      <c r="X54" s="95">
        <v>0</v>
      </c>
      <c r="Y54" s="99">
        <v>0</v>
      </c>
      <c r="Z54" s="84" t="str">
        <f t="shared" si="2"/>
        <v>CFG_PTIME4</v>
      </c>
      <c r="AA54" s="7" t="str">
        <f t="shared" si="4"/>
        <v>0X00</v>
      </c>
    </row>
    <row r="55" spans="2:27">
      <c r="B55" s="66"/>
      <c r="C55" s="58" t="s">
        <v>517</v>
      </c>
      <c r="D55" s="59" t="s">
        <v>518</v>
      </c>
      <c r="E55" s="59" t="s">
        <v>380</v>
      </c>
      <c r="F55" s="59" t="s">
        <v>257</v>
      </c>
      <c r="G55" s="59" t="s">
        <v>257</v>
      </c>
      <c r="H55" s="58"/>
      <c r="I55" s="73" t="s">
        <v>519</v>
      </c>
      <c r="J55" s="73"/>
      <c r="K55" s="73"/>
      <c r="L55" s="73"/>
      <c r="M55" s="73"/>
      <c r="N55" s="73"/>
      <c r="O55" s="73"/>
      <c r="P55" s="58" t="s">
        <v>520</v>
      </c>
      <c r="R55" s="58"/>
      <c r="S55" s="73" t="s">
        <v>519</v>
      </c>
      <c r="T55" s="73"/>
      <c r="U55" s="73"/>
      <c r="V55" s="73"/>
      <c r="W55" s="73"/>
      <c r="X55" s="73"/>
      <c r="Y55" s="73"/>
      <c r="Z55" s="84" t="str">
        <f t="shared" si="2"/>
        <v>CFG_I2C</v>
      </c>
      <c r="AA55" s="7" t="s">
        <v>521</v>
      </c>
    </row>
    <row r="56" spans="1:27">
      <c r="A56" t="s">
        <v>522</v>
      </c>
      <c r="B56" s="66"/>
      <c r="C56" s="58" t="s">
        <v>523</v>
      </c>
      <c r="D56" s="59" t="s">
        <v>524</v>
      </c>
      <c r="E56" s="59" t="s">
        <v>380</v>
      </c>
      <c r="F56" s="59" t="s">
        <v>111</v>
      </c>
      <c r="G56" s="59" t="s">
        <v>106</v>
      </c>
      <c r="H56" s="58"/>
      <c r="I56" s="58"/>
      <c r="J56" s="58"/>
      <c r="K56" s="58"/>
      <c r="L56" s="58"/>
      <c r="M56" s="58"/>
      <c r="N56" s="58"/>
      <c r="O56" s="73" t="s">
        <v>240</v>
      </c>
      <c r="P56" s="58" t="s">
        <v>525</v>
      </c>
      <c r="R56" s="58"/>
      <c r="S56" s="58"/>
      <c r="T56" s="58"/>
      <c r="U56" s="58"/>
      <c r="V56" s="58"/>
      <c r="W56" s="58"/>
      <c r="X56" s="58"/>
      <c r="Y56" s="73" t="s">
        <v>240</v>
      </c>
      <c r="Z56" s="84" t="str">
        <f t="shared" si="2"/>
        <v>CFG_START</v>
      </c>
      <c r="AA56" s="101" t="s">
        <v>526</v>
      </c>
    </row>
    <row r="57" spans="2:27">
      <c r="B57" s="66"/>
      <c r="C57" s="58" t="s">
        <v>527</v>
      </c>
      <c r="D57" s="59" t="s">
        <v>528</v>
      </c>
      <c r="E57" s="59" t="s">
        <v>380</v>
      </c>
      <c r="F57" s="59" t="s">
        <v>106</v>
      </c>
      <c r="G57" s="59" t="s">
        <v>139</v>
      </c>
      <c r="H57" s="58"/>
      <c r="I57" s="58"/>
      <c r="J57" s="58"/>
      <c r="K57" s="58"/>
      <c r="L57" s="73" t="s">
        <v>529</v>
      </c>
      <c r="M57" s="73"/>
      <c r="N57" s="73"/>
      <c r="O57" s="73"/>
      <c r="P57" s="58" t="s">
        <v>530</v>
      </c>
      <c r="R57" s="58"/>
      <c r="S57" s="58"/>
      <c r="T57" s="58"/>
      <c r="U57" s="58"/>
      <c r="V57" s="73" t="s">
        <v>529</v>
      </c>
      <c r="W57" s="73"/>
      <c r="X57" s="73"/>
      <c r="Y57" s="73"/>
      <c r="Z57" s="84" t="str">
        <f t="shared" si="2"/>
        <v>PAGE</v>
      </c>
      <c r="AA57" s="7"/>
    </row>
    <row r="58" spans="2:27">
      <c r="B58" s="66"/>
      <c r="C58" s="58" t="s">
        <v>531</v>
      </c>
      <c r="D58" s="59" t="s">
        <v>532</v>
      </c>
      <c r="E58" s="59" t="s">
        <v>380</v>
      </c>
      <c r="F58" s="59" t="s">
        <v>114</v>
      </c>
      <c r="G58" s="59" t="s">
        <v>106</v>
      </c>
      <c r="H58" s="58"/>
      <c r="I58" s="58"/>
      <c r="J58" s="58"/>
      <c r="K58" s="58"/>
      <c r="L58" s="58"/>
      <c r="M58" s="58"/>
      <c r="N58" s="73" t="s">
        <v>245</v>
      </c>
      <c r="O58" s="73" t="s">
        <v>239</v>
      </c>
      <c r="P58" s="58" t="s">
        <v>533</v>
      </c>
      <c r="R58" s="58"/>
      <c r="S58" s="58"/>
      <c r="T58" s="58"/>
      <c r="U58" s="58"/>
      <c r="V58" s="58"/>
      <c r="W58" s="58"/>
      <c r="X58" s="73" t="s">
        <v>245</v>
      </c>
      <c r="Y58" s="73" t="s">
        <v>239</v>
      </c>
      <c r="Z58" s="84" t="str">
        <f t="shared" si="2"/>
        <v>CFG_ETC</v>
      </c>
      <c r="AA58" s="7"/>
    </row>
    <row r="59" spans="2:27">
      <c r="B59" s="66" t="s">
        <v>534</v>
      </c>
      <c r="C59" s="58" t="s">
        <v>535</v>
      </c>
      <c r="D59" s="59" t="s">
        <v>536</v>
      </c>
      <c r="E59" s="59" t="s">
        <v>380</v>
      </c>
      <c r="F59" s="59" t="s">
        <v>106</v>
      </c>
      <c r="G59" s="59" t="s">
        <v>106</v>
      </c>
      <c r="H59" s="73" t="s">
        <v>537</v>
      </c>
      <c r="I59" s="73"/>
      <c r="J59" s="73"/>
      <c r="K59" s="73"/>
      <c r="L59" s="73"/>
      <c r="M59" s="73"/>
      <c r="N59" s="73"/>
      <c r="O59" s="73"/>
      <c r="P59" s="58" t="s">
        <v>538</v>
      </c>
      <c r="R59" s="73" t="s">
        <v>537</v>
      </c>
      <c r="S59" s="73"/>
      <c r="T59" s="73"/>
      <c r="U59" s="73"/>
      <c r="V59" s="73"/>
      <c r="W59" s="73"/>
      <c r="X59" s="73"/>
      <c r="Y59" s="73"/>
      <c r="Z59" s="84" t="str">
        <f t="shared" si="2"/>
        <v>OTP_UNUSED0</v>
      </c>
      <c r="AA59" s="7"/>
    </row>
    <row r="60" ht="15" customHeight="1" spans="2:27">
      <c r="B60" s="66" t="s">
        <v>539</v>
      </c>
      <c r="C60" s="58" t="s">
        <v>540</v>
      </c>
      <c r="D60" s="59" t="s">
        <v>541</v>
      </c>
      <c r="E60" s="59" t="s">
        <v>380</v>
      </c>
      <c r="F60" s="59" t="s">
        <v>106</v>
      </c>
      <c r="G60" s="59" t="s">
        <v>349</v>
      </c>
      <c r="H60" s="58"/>
      <c r="I60" s="58"/>
      <c r="J60" s="60" t="s">
        <v>542</v>
      </c>
      <c r="K60" s="60"/>
      <c r="L60" s="60"/>
      <c r="M60" s="58"/>
      <c r="N60" s="58"/>
      <c r="O60" s="58"/>
      <c r="P60" s="58" t="s">
        <v>543</v>
      </c>
      <c r="R60" s="58"/>
      <c r="S60" s="58"/>
      <c r="T60" s="60" t="s">
        <v>542</v>
      </c>
      <c r="U60" s="60"/>
      <c r="V60" s="60"/>
      <c r="W60" s="58"/>
      <c r="X60" s="58"/>
      <c r="Y60" s="58"/>
      <c r="Z60" s="84" t="str">
        <f t="shared" si="2"/>
        <v>IMAGE_ADDR</v>
      </c>
      <c r="AA60" s="7"/>
    </row>
    <row r="61" spans="2:27">
      <c r="B61" s="66"/>
      <c r="C61" s="58" t="s">
        <v>544</v>
      </c>
      <c r="D61" s="59" t="s">
        <v>545</v>
      </c>
      <c r="E61" s="59" t="s">
        <v>357</v>
      </c>
      <c r="F61" s="59" t="s">
        <v>106</v>
      </c>
      <c r="G61" s="59" t="s">
        <v>349</v>
      </c>
      <c r="H61" s="60" t="s">
        <v>546</v>
      </c>
      <c r="I61" s="60"/>
      <c r="J61" s="60"/>
      <c r="K61" s="60"/>
      <c r="L61" s="60"/>
      <c r="M61" s="60"/>
      <c r="N61" s="60"/>
      <c r="O61" s="60"/>
      <c r="P61" s="58" t="s">
        <v>547</v>
      </c>
      <c r="R61" s="60" t="s">
        <v>546</v>
      </c>
      <c r="S61" s="60"/>
      <c r="T61" s="60"/>
      <c r="U61" s="60"/>
      <c r="V61" s="60"/>
      <c r="W61" s="60"/>
      <c r="X61" s="60"/>
      <c r="Y61" s="60"/>
      <c r="Z61" s="84" t="str">
        <f t="shared" si="2"/>
        <v>IMAGE_DATA0</v>
      </c>
      <c r="AA61" s="7"/>
    </row>
    <row r="62" spans="2:27">
      <c r="B62" s="66"/>
      <c r="C62" s="58" t="s">
        <v>548</v>
      </c>
      <c r="D62" s="59" t="s">
        <v>549</v>
      </c>
      <c r="E62" s="59" t="s">
        <v>357</v>
      </c>
      <c r="F62" s="59" t="s">
        <v>106</v>
      </c>
      <c r="G62" s="59" t="s">
        <v>349</v>
      </c>
      <c r="H62" s="60" t="s">
        <v>550</v>
      </c>
      <c r="I62" s="60"/>
      <c r="J62" s="60"/>
      <c r="K62" s="60"/>
      <c r="L62" s="60"/>
      <c r="M62" s="60"/>
      <c r="N62" s="60"/>
      <c r="O62" s="60"/>
      <c r="P62" s="58" t="s">
        <v>551</v>
      </c>
      <c r="R62" s="60" t="s">
        <v>550</v>
      </c>
      <c r="S62" s="60"/>
      <c r="T62" s="60"/>
      <c r="U62" s="60"/>
      <c r="V62" s="60"/>
      <c r="W62" s="60"/>
      <c r="X62" s="60"/>
      <c r="Y62" s="60"/>
      <c r="Z62" s="84" t="str">
        <f t="shared" si="2"/>
        <v>IMAGE_DATA1</v>
      </c>
      <c r="AA62" s="7"/>
    </row>
    <row r="63" spans="2:27">
      <c r="B63" s="66"/>
      <c r="C63" s="58" t="s">
        <v>552</v>
      </c>
      <c r="D63" s="59" t="s">
        <v>553</v>
      </c>
      <c r="E63" s="59" t="s">
        <v>357</v>
      </c>
      <c r="F63" s="59" t="s">
        <v>106</v>
      </c>
      <c r="G63" s="59" t="s">
        <v>349</v>
      </c>
      <c r="H63" s="60" t="s">
        <v>554</v>
      </c>
      <c r="I63" s="60"/>
      <c r="J63" s="60"/>
      <c r="K63" s="60"/>
      <c r="L63" s="60"/>
      <c r="M63" s="60"/>
      <c r="N63" s="60"/>
      <c r="O63" s="60"/>
      <c r="P63" s="58" t="s">
        <v>555</v>
      </c>
      <c r="R63" s="60" t="s">
        <v>554</v>
      </c>
      <c r="S63" s="60"/>
      <c r="T63" s="60"/>
      <c r="U63" s="60"/>
      <c r="V63" s="60"/>
      <c r="W63" s="60"/>
      <c r="X63" s="60"/>
      <c r="Y63" s="60"/>
      <c r="Z63" s="84" t="str">
        <f t="shared" si="2"/>
        <v>IMAGE_DATA2</v>
      </c>
      <c r="AA63" s="7"/>
    </row>
    <row r="64" spans="2:27">
      <c r="B64" s="66"/>
      <c r="C64" s="58" t="s">
        <v>556</v>
      </c>
      <c r="D64" s="59" t="s">
        <v>557</v>
      </c>
      <c r="E64" s="59" t="s">
        <v>357</v>
      </c>
      <c r="F64" s="59" t="s">
        <v>106</v>
      </c>
      <c r="G64" s="59" t="s">
        <v>349</v>
      </c>
      <c r="H64" s="60" t="s">
        <v>558</v>
      </c>
      <c r="I64" s="60"/>
      <c r="J64" s="60"/>
      <c r="K64" s="60"/>
      <c r="L64" s="60"/>
      <c r="M64" s="60"/>
      <c r="N64" s="60"/>
      <c r="O64" s="60"/>
      <c r="P64" s="58" t="s">
        <v>559</v>
      </c>
      <c r="R64" s="60" t="s">
        <v>558</v>
      </c>
      <c r="S64" s="60"/>
      <c r="T64" s="60"/>
      <c r="U64" s="60"/>
      <c r="V64" s="60"/>
      <c r="W64" s="60"/>
      <c r="X64" s="60"/>
      <c r="Y64" s="60"/>
      <c r="Z64" s="84" t="str">
        <f t="shared" si="2"/>
        <v>IMAGE_DATA3</v>
      </c>
      <c r="AA64" s="7"/>
    </row>
    <row r="65" spans="2:27">
      <c r="B65" s="66"/>
      <c r="C65" s="58" t="s">
        <v>560</v>
      </c>
      <c r="D65" s="59" t="s">
        <v>561</v>
      </c>
      <c r="E65" s="59" t="s">
        <v>357</v>
      </c>
      <c r="F65" s="59" t="s">
        <v>106</v>
      </c>
      <c r="G65" s="59" t="s">
        <v>349</v>
      </c>
      <c r="H65" s="60" t="s">
        <v>562</v>
      </c>
      <c r="I65" s="60"/>
      <c r="J65" s="60"/>
      <c r="K65" s="60"/>
      <c r="L65" s="60"/>
      <c r="M65" s="60"/>
      <c r="N65" s="60"/>
      <c r="O65" s="60"/>
      <c r="P65" s="58" t="s">
        <v>563</v>
      </c>
      <c r="R65" s="60" t="s">
        <v>562</v>
      </c>
      <c r="S65" s="60"/>
      <c r="T65" s="60"/>
      <c r="U65" s="60"/>
      <c r="V65" s="60"/>
      <c r="W65" s="60"/>
      <c r="X65" s="60"/>
      <c r="Y65" s="60"/>
      <c r="Z65" s="84" t="str">
        <f t="shared" si="2"/>
        <v>IMAGE_DATA4</v>
      </c>
      <c r="AA65" s="7"/>
    </row>
    <row r="66" spans="2:27">
      <c r="B66" s="66"/>
      <c r="C66" s="58" t="s">
        <v>564</v>
      </c>
      <c r="D66" s="59" t="s">
        <v>565</v>
      </c>
      <c r="E66" s="59" t="s">
        <v>357</v>
      </c>
      <c r="F66" s="59" t="s">
        <v>106</v>
      </c>
      <c r="G66" s="59" t="s">
        <v>349</v>
      </c>
      <c r="H66" s="60" t="s">
        <v>566</v>
      </c>
      <c r="I66" s="60"/>
      <c r="J66" s="60"/>
      <c r="K66" s="60"/>
      <c r="L66" s="60"/>
      <c r="M66" s="60"/>
      <c r="N66" s="60"/>
      <c r="O66" s="60"/>
      <c r="P66" s="58" t="s">
        <v>567</v>
      </c>
      <c r="R66" s="60" t="s">
        <v>566</v>
      </c>
      <c r="S66" s="60"/>
      <c r="T66" s="60"/>
      <c r="U66" s="60"/>
      <c r="V66" s="60"/>
      <c r="W66" s="60"/>
      <c r="X66" s="60"/>
      <c r="Y66" s="60"/>
      <c r="Z66" s="84" t="str">
        <f t="shared" si="2"/>
        <v>IMAGE_DATA5</v>
      </c>
      <c r="AA66" s="7"/>
    </row>
    <row r="67" spans="2:27">
      <c r="B67" s="66"/>
      <c r="C67" s="58" t="s">
        <v>568</v>
      </c>
      <c r="D67" s="59" t="s">
        <v>569</v>
      </c>
      <c r="E67" s="59" t="s">
        <v>357</v>
      </c>
      <c r="F67" s="59" t="s">
        <v>106</v>
      </c>
      <c r="G67" s="59" t="s">
        <v>349</v>
      </c>
      <c r="H67" s="60" t="s">
        <v>570</v>
      </c>
      <c r="I67" s="60"/>
      <c r="J67" s="60"/>
      <c r="K67" s="60"/>
      <c r="L67" s="60"/>
      <c r="M67" s="60"/>
      <c r="N67" s="60"/>
      <c r="O67" s="60"/>
      <c r="P67" s="58" t="s">
        <v>571</v>
      </c>
      <c r="R67" s="60" t="s">
        <v>570</v>
      </c>
      <c r="S67" s="60"/>
      <c r="T67" s="60"/>
      <c r="U67" s="60"/>
      <c r="V67" s="60"/>
      <c r="W67" s="60"/>
      <c r="X67" s="60"/>
      <c r="Y67" s="60"/>
      <c r="Z67" s="84" t="str">
        <f t="shared" si="2"/>
        <v>IMAGE_DATA6</v>
      </c>
      <c r="AA67" s="7"/>
    </row>
    <row r="68" spans="2:27">
      <c r="B68" s="66"/>
      <c r="C68" s="58" t="s">
        <v>572</v>
      </c>
      <c r="D68" s="59" t="s">
        <v>573</v>
      </c>
      <c r="E68" s="59" t="s">
        <v>357</v>
      </c>
      <c r="F68" s="59" t="s">
        <v>106</v>
      </c>
      <c r="G68" s="59" t="s">
        <v>349</v>
      </c>
      <c r="H68" s="60" t="s">
        <v>574</v>
      </c>
      <c r="I68" s="60"/>
      <c r="J68" s="60"/>
      <c r="K68" s="60"/>
      <c r="L68" s="60"/>
      <c r="M68" s="60"/>
      <c r="N68" s="60"/>
      <c r="O68" s="60"/>
      <c r="P68" s="58" t="s">
        <v>575</v>
      </c>
      <c r="R68" s="60" t="s">
        <v>574</v>
      </c>
      <c r="S68" s="60"/>
      <c r="T68" s="60"/>
      <c r="U68" s="60"/>
      <c r="V68" s="60"/>
      <c r="W68" s="60"/>
      <c r="X68" s="60"/>
      <c r="Y68" s="60"/>
      <c r="Z68" s="84" t="str">
        <f t="shared" si="2"/>
        <v>IMAGE_DATA7</v>
      </c>
      <c r="AA68" s="7"/>
    </row>
    <row r="69" spans="2:27">
      <c r="B69" s="66" t="s">
        <v>576</v>
      </c>
      <c r="C69" s="58" t="s">
        <v>577</v>
      </c>
      <c r="D69" s="59" t="s">
        <v>578</v>
      </c>
      <c r="E69" s="59" t="s">
        <v>380</v>
      </c>
      <c r="F69" s="59" t="s">
        <v>106</v>
      </c>
      <c r="G69" s="59" t="s">
        <v>349</v>
      </c>
      <c r="H69" s="60" t="s">
        <v>579</v>
      </c>
      <c r="I69" s="58"/>
      <c r="J69" s="60" t="s">
        <v>577</v>
      </c>
      <c r="K69" s="60"/>
      <c r="L69" s="58"/>
      <c r="M69" s="58"/>
      <c r="N69" s="58"/>
      <c r="O69" s="60" t="s">
        <v>580</v>
      </c>
      <c r="P69" s="58" t="s">
        <v>581</v>
      </c>
      <c r="R69" s="60" t="s">
        <v>579</v>
      </c>
      <c r="S69" s="58"/>
      <c r="T69" s="60" t="s">
        <v>577</v>
      </c>
      <c r="U69" s="60"/>
      <c r="V69" s="58"/>
      <c r="W69" s="58"/>
      <c r="X69" s="58"/>
      <c r="Y69" s="60" t="s">
        <v>580</v>
      </c>
      <c r="Z69" s="84" t="str">
        <f t="shared" si="2"/>
        <v>TM_I2C</v>
      </c>
      <c r="AA69" s="7"/>
    </row>
    <row r="70" spans="2:27">
      <c r="B70" s="66"/>
      <c r="C70" s="58" t="s">
        <v>582</v>
      </c>
      <c r="D70" s="59" t="s">
        <v>583</v>
      </c>
      <c r="E70" s="59" t="s">
        <v>584</v>
      </c>
      <c r="F70" s="59" t="s">
        <v>106</v>
      </c>
      <c r="G70" s="59" t="s">
        <v>349</v>
      </c>
      <c r="H70" s="60" t="s">
        <v>585</v>
      </c>
      <c r="I70" s="58"/>
      <c r="J70" s="58"/>
      <c r="K70" s="58"/>
      <c r="L70" s="58"/>
      <c r="M70" s="58"/>
      <c r="N70" s="58"/>
      <c r="O70" s="58"/>
      <c r="P70" s="58" t="s">
        <v>586</v>
      </c>
      <c r="R70" s="60" t="s">
        <v>585</v>
      </c>
      <c r="S70" s="58"/>
      <c r="T70" s="58"/>
      <c r="U70" s="58"/>
      <c r="V70" s="58"/>
      <c r="W70" s="58"/>
      <c r="X70" s="58"/>
      <c r="Y70" s="58"/>
      <c r="Z70" s="84" t="str">
        <f t="shared" si="2"/>
        <v>TM_DFT</v>
      </c>
      <c r="AA70" s="7"/>
    </row>
    <row r="71" spans="2:27">
      <c r="B71" s="66"/>
      <c r="C71" s="58" t="s">
        <v>587</v>
      </c>
      <c r="D71" s="59" t="s">
        <v>588</v>
      </c>
      <c r="E71" s="59" t="s">
        <v>380</v>
      </c>
      <c r="F71" s="59" t="s">
        <v>106</v>
      </c>
      <c r="G71" s="59" t="s">
        <v>349</v>
      </c>
      <c r="H71" s="58"/>
      <c r="I71" s="58"/>
      <c r="J71" s="58"/>
      <c r="K71" s="58"/>
      <c r="L71" s="58"/>
      <c r="M71" s="58"/>
      <c r="N71" s="58"/>
      <c r="O71" s="60" t="s">
        <v>589</v>
      </c>
      <c r="P71" s="58" t="s">
        <v>590</v>
      </c>
      <c r="R71" s="58"/>
      <c r="S71" s="58"/>
      <c r="T71" s="58"/>
      <c r="U71" s="58"/>
      <c r="V71" s="58"/>
      <c r="W71" s="58"/>
      <c r="X71" s="58"/>
      <c r="Y71" s="60" t="s">
        <v>589</v>
      </c>
      <c r="Z71" s="84" t="str">
        <f t="shared" si="2"/>
        <v>TM_LATCH_FAULT</v>
      </c>
      <c r="AA71" s="7"/>
    </row>
    <row r="72" spans="2:27">
      <c r="B72" s="66"/>
      <c r="C72" s="58" t="s">
        <v>591</v>
      </c>
      <c r="D72" s="59" t="s">
        <v>592</v>
      </c>
      <c r="E72" s="59" t="s">
        <v>380</v>
      </c>
      <c r="F72" s="59" t="s">
        <v>106</v>
      </c>
      <c r="G72" s="59" t="s">
        <v>349</v>
      </c>
      <c r="H72" s="58"/>
      <c r="I72" s="60" t="s">
        <v>593</v>
      </c>
      <c r="J72" s="60"/>
      <c r="K72" s="60"/>
      <c r="L72" s="60"/>
      <c r="M72" s="60"/>
      <c r="N72" s="60"/>
      <c r="O72" s="60"/>
      <c r="P72" s="58" t="s">
        <v>594</v>
      </c>
      <c r="R72" s="58"/>
      <c r="S72" s="60" t="s">
        <v>593</v>
      </c>
      <c r="T72" s="60"/>
      <c r="U72" s="60"/>
      <c r="V72" s="60"/>
      <c r="W72" s="60"/>
      <c r="X72" s="60"/>
      <c r="Y72" s="60"/>
      <c r="Z72" s="84" t="str">
        <f t="shared" si="2"/>
        <v>TM_DIAG0</v>
      </c>
      <c r="AA72" s="7"/>
    </row>
    <row r="73" spans="2:27">
      <c r="B73" s="66"/>
      <c r="C73" s="58" t="s">
        <v>595</v>
      </c>
      <c r="D73" s="59" t="s">
        <v>596</v>
      </c>
      <c r="E73" s="59" t="s">
        <v>380</v>
      </c>
      <c r="F73" s="59" t="s">
        <v>106</v>
      </c>
      <c r="G73" s="59" t="s">
        <v>349</v>
      </c>
      <c r="H73" s="58"/>
      <c r="I73" s="60" t="s">
        <v>597</v>
      </c>
      <c r="J73" s="60"/>
      <c r="K73" s="60"/>
      <c r="L73" s="60"/>
      <c r="M73" s="60"/>
      <c r="N73" s="60"/>
      <c r="O73" s="60"/>
      <c r="P73" s="58" t="s">
        <v>594</v>
      </c>
      <c r="R73" s="58"/>
      <c r="S73" s="60" t="s">
        <v>597</v>
      </c>
      <c r="T73" s="60"/>
      <c r="U73" s="60"/>
      <c r="V73" s="60"/>
      <c r="W73" s="60"/>
      <c r="X73" s="60"/>
      <c r="Y73" s="60"/>
      <c r="Z73" s="84" t="str">
        <f t="shared" si="2"/>
        <v>TM_DIAG1</v>
      </c>
      <c r="AA73" s="7"/>
    </row>
    <row r="74" spans="2:27">
      <c r="B74" s="66"/>
      <c r="C74" s="58" t="s">
        <v>598</v>
      </c>
      <c r="D74" s="59" t="s">
        <v>599</v>
      </c>
      <c r="E74" s="59" t="s">
        <v>380</v>
      </c>
      <c r="F74" s="59" t="s">
        <v>106</v>
      </c>
      <c r="G74" s="59" t="s">
        <v>349</v>
      </c>
      <c r="H74" s="58"/>
      <c r="I74" s="58"/>
      <c r="J74" s="60" t="s">
        <v>600</v>
      </c>
      <c r="K74" s="60"/>
      <c r="L74" s="58"/>
      <c r="M74" s="58"/>
      <c r="N74" s="60" t="s">
        <v>601</v>
      </c>
      <c r="O74" s="60"/>
      <c r="P74" s="58" t="s">
        <v>602</v>
      </c>
      <c r="R74" s="58"/>
      <c r="S74" s="58"/>
      <c r="T74" s="60" t="s">
        <v>600</v>
      </c>
      <c r="U74" s="60"/>
      <c r="V74" s="58"/>
      <c r="W74" s="58"/>
      <c r="X74" s="60" t="s">
        <v>601</v>
      </c>
      <c r="Y74" s="60"/>
      <c r="Z74" s="84" t="str">
        <f t="shared" si="2"/>
        <v>TM_PMUX</v>
      </c>
      <c r="AA74" s="7"/>
    </row>
    <row r="75" spans="2:27">
      <c r="B75" s="66"/>
      <c r="C75" s="58" t="s">
        <v>603</v>
      </c>
      <c r="D75" s="59" t="s">
        <v>604</v>
      </c>
      <c r="E75" s="59" t="s">
        <v>380</v>
      </c>
      <c r="F75" s="59" t="s">
        <v>106</v>
      </c>
      <c r="G75" s="59" t="s">
        <v>349</v>
      </c>
      <c r="H75" s="60" t="s">
        <v>605</v>
      </c>
      <c r="I75" s="60"/>
      <c r="J75" s="60"/>
      <c r="K75" s="60"/>
      <c r="L75" s="60"/>
      <c r="M75" s="60"/>
      <c r="N75" s="60"/>
      <c r="O75" s="60"/>
      <c r="P75" s="58" t="s">
        <v>606</v>
      </c>
      <c r="R75" s="60" t="s">
        <v>605</v>
      </c>
      <c r="S75" s="60"/>
      <c r="T75" s="60"/>
      <c r="U75" s="60"/>
      <c r="V75" s="60"/>
      <c r="W75" s="60"/>
      <c r="X75" s="60"/>
      <c r="Y75" s="60"/>
      <c r="Z75" s="84" t="str">
        <f t="shared" si="2"/>
        <v>TM_ADDR_A</v>
      </c>
      <c r="AA75" s="7"/>
    </row>
    <row r="76" spans="2:27">
      <c r="B76" s="66"/>
      <c r="C76" s="58" t="s">
        <v>607</v>
      </c>
      <c r="D76" s="59" t="s">
        <v>608</v>
      </c>
      <c r="E76" s="59" t="s">
        <v>380</v>
      </c>
      <c r="F76" s="59" t="s">
        <v>106</v>
      </c>
      <c r="G76" s="59" t="s">
        <v>349</v>
      </c>
      <c r="H76" s="60" t="s">
        <v>609</v>
      </c>
      <c r="I76" s="60"/>
      <c r="J76" s="60"/>
      <c r="K76" s="60"/>
      <c r="L76" s="60"/>
      <c r="M76" s="60"/>
      <c r="N76" s="60"/>
      <c r="O76" s="60"/>
      <c r="P76" s="58" t="s">
        <v>610</v>
      </c>
      <c r="R76" s="60" t="s">
        <v>609</v>
      </c>
      <c r="S76" s="60"/>
      <c r="T76" s="60"/>
      <c r="U76" s="60"/>
      <c r="V76" s="60"/>
      <c r="W76" s="60"/>
      <c r="X76" s="60"/>
      <c r="Y76" s="60"/>
      <c r="Z76" s="84" t="str">
        <f t="shared" si="2"/>
        <v>TM_ADDR_D</v>
      </c>
      <c r="AA76" s="7"/>
    </row>
    <row r="77" spans="2:27">
      <c r="B77" s="66"/>
      <c r="C77" s="58" t="s">
        <v>611</v>
      </c>
      <c r="D77" s="59" t="s">
        <v>612</v>
      </c>
      <c r="E77" s="59" t="s">
        <v>380</v>
      </c>
      <c r="F77" s="59" t="s">
        <v>106</v>
      </c>
      <c r="G77" s="59" t="s">
        <v>349</v>
      </c>
      <c r="H77" s="60" t="s">
        <v>613</v>
      </c>
      <c r="I77" s="60" t="s">
        <v>614</v>
      </c>
      <c r="J77" s="60" t="s">
        <v>615</v>
      </c>
      <c r="K77" s="60" t="s">
        <v>616</v>
      </c>
      <c r="L77" s="60" t="s">
        <v>617</v>
      </c>
      <c r="M77" s="60" t="s">
        <v>618</v>
      </c>
      <c r="N77" s="60" t="s">
        <v>619</v>
      </c>
      <c r="O77" s="60" t="s">
        <v>620</v>
      </c>
      <c r="P77" s="58" t="s">
        <v>621</v>
      </c>
      <c r="R77" s="60" t="s">
        <v>613</v>
      </c>
      <c r="S77" s="60" t="s">
        <v>614</v>
      </c>
      <c r="T77" s="60" t="s">
        <v>615</v>
      </c>
      <c r="U77" s="60" t="s">
        <v>616</v>
      </c>
      <c r="V77" s="60" t="s">
        <v>617</v>
      </c>
      <c r="W77" s="60" t="s">
        <v>618</v>
      </c>
      <c r="X77" s="60" t="s">
        <v>619</v>
      </c>
      <c r="Y77" s="60" t="s">
        <v>620</v>
      </c>
      <c r="Z77" s="84" t="str">
        <f t="shared" si="2"/>
        <v>TM_CP0</v>
      </c>
      <c r="AA77" s="7"/>
    </row>
    <row r="78" spans="2:27">
      <c r="B78" s="66"/>
      <c r="C78" s="58" t="s">
        <v>622</v>
      </c>
      <c r="D78" s="59" t="s">
        <v>623</v>
      </c>
      <c r="E78" s="59" t="s">
        <v>380</v>
      </c>
      <c r="F78" s="59" t="s">
        <v>106</v>
      </c>
      <c r="G78" s="59" t="s">
        <v>349</v>
      </c>
      <c r="H78" s="60" t="s">
        <v>624</v>
      </c>
      <c r="I78" s="60" t="s">
        <v>625</v>
      </c>
      <c r="J78" s="60" t="s">
        <v>626</v>
      </c>
      <c r="K78" s="60" t="s">
        <v>90</v>
      </c>
      <c r="L78" s="60" t="s">
        <v>627</v>
      </c>
      <c r="M78" s="60" t="s">
        <v>628</v>
      </c>
      <c r="N78" s="60" t="s">
        <v>629</v>
      </c>
      <c r="O78" s="60" t="s">
        <v>630</v>
      </c>
      <c r="P78" s="58" t="s">
        <v>621</v>
      </c>
      <c r="R78" s="60" t="s">
        <v>624</v>
      </c>
      <c r="S78" s="60" t="s">
        <v>625</v>
      </c>
      <c r="T78" s="60" t="s">
        <v>626</v>
      </c>
      <c r="U78" s="60" t="s">
        <v>90</v>
      </c>
      <c r="V78" s="60" t="s">
        <v>627</v>
      </c>
      <c r="W78" s="60" t="s">
        <v>628</v>
      </c>
      <c r="X78" s="60" t="s">
        <v>629</v>
      </c>
      <c r="Y78" s="60" t="s">
        <v>630</v>
      </c>
      <c r="Z78" s="84" t="str">
        <f t="shared" si="2"/>
        <v>TM_CP1</v>
      </c>
      <c r="AA78" s="7"/>
    </row>
    <row r="79" spans="2:27">
      <c r="B79" s="66"/>
      <c r="C79" s="58" t="s">
        <v>631</v>
      </c>
      <c r="D79" s="59" t="s">
        <v>632</v>
      </c>
      <c r="E79" s="59" t="s">
        <v>380</v>
      </c>
      <c r="F79" s="59" t="s">
        <v>106</v>
      </c>
      <c r="G79" s="59" t="s">
        <v>349</v>
      </c>
      <c r="H79" s="60" t="s">
        <v>633</v>
      </c>
      <c r="I79" s="60"/>
      <c r="J79" s="60"/>
      <c r="K79" s="60"/>
      <c r="L79" s="60"/>
      <c r="M79" s="60" t="s">
        <v>634</v>
      </c>
      <c r="N79" s="60" t="s">
        <v>635</v>
      </c>
      <c r="O79" s="60" t="s">
        <v>636</v>
      </c>
      <c r="P79" s="58" t="s">
        <v>621</v>
      </c>
      <c r="R79" s="60" t="s">
        <v>633</v>
      </c>
      <c r="S79" s="60"/>
      <c r="T79" s="60"/>
      <c r="U79" s="60"/>
      <c r="V79" s="60"/>
      <c r="W79" s="60" t="s">
        <v>634</v>
      </c>
      <c r="X79" s="60" t="s">
        <v>635</v>
      </c>
      <c r="Y79" s="60" t="s">
        <v>636</v>
      </c>
      <c r="Z79" s="84" t="str">
        <f t="shared" si="2"/>
        <v>TM_CP2</v>
      </c>
      <c r="AA79" s="7"/>
    </row>
    <row r="80" spans="2:27">
      <c r="B80" s="66"/>
      <c r="C80" s="58" t="s">
        <v>637</v>
      </c>
      <c r="D80" s="59" t="s">
        <v>638</v>
      </c>
      <c r="E80" s="59" t="s">
        <v>380</v>
      </c>
      <c r="F80" s="59" t="s">
        <v>106</v>
      </c>
      <c r="G80" s="59" t="s">
        <v>349</v>
      </c>
      <c r="H80" s="58"/>
      <c r="I80" s="58"/>
      <c r="J80" s="58"/>
      <c r="K80" s="58"/>
      <c r="L80" s="58"/>
      <c r="M80" s="58"/>
      <c r="N80" s="60" t="s">
        <v>639</v>
      </c>
      <c r="O80" s="60" t="s">
        <v>640</v>
      </c>
      <c r="P80" s="58" t="s">
        <v>641</v>
      </c>
      <c r="R80" s="58"/>
      <c r="S80" s="58"/>
      <c r="T80" s="58"/>
      <c r="U80" s="58"/>
      <c r="V80" s="58"/>
      <c r="W80" s="58"/>
      <c r="X80" s="60" t="s">
        <v>639</v>
      </c>
      <c r="Y80" s="60" t="s">
        <v>640</v>
      </c>
      <c r="Z80" s="84" t="str">
        <f t="shared" si="2"/>
        <v>TM_REF</v>
      </c>
      <c r="AA80" s="7"/>
    </row>
    <row r="81" spans="2:27">
      <c r="B81" s="66"/>
      <c r="C81" s="58" t="s">
        <v>642</v>
      </c>
      <c r="D81" s="59" t="s">
        <v>643</v>
      </c>
      <c r="E81" s="59" t="s">
        <v>380</v>
      </c>
      <c r="F81" s="59" t="s">
        <v>106</v>
      </c>
      <c r="G81" s="59" t="s">
        <v>349</v>
      </c>
      <c r="H81" s="60" t="s">
        <v>644</v>
      </c>
      <c r="I81" s="60"/>
      <c r="J81" s="60" t="s">
        <v>645</v>
      </c>
      <c r="K81" s="60"/>
      <c r="L81" s="60" t="s">
        <v>646</v>
      </c>
      <c r="M81" s="60"/>
      <c r="N81" s="60" t="s">
        <v>647</v>
      </c>
      <c r="O81" s="60"/>
      <c r="P81" s="58" t="s">
        <v>648</v>
      </c>
      <c r="R81" s="60" t="s">
        <v>644</v>
      </c>
      <c r="S81" s="60"/>
      <c r="T81" s="60" t="s">
        <v>645</v>
      </c>
      <c r="U81" s="60"/>
      <c r="V81" s="60" t="s">
        <v>646</v>
      </c>
      <c r="W81" s="60"/>
      <c r="X81" s="60" t="s">
        <v>647</v>
      </c>
      <c r="Y81" s="60"/>
      <c r="Z81" s="84" t="str">
        <f t="shared" si="2"/>
        <v>TM_OVER0</v>
      </c>
      <c r="AA81" s="7"/>
    </row>
    <row r="82" spans="2:27">
      <c r="B82" s="66"/>
      <c r="C82" s="58" t="s">
        <v>649</v>
      </c>
      <c r="D82" s="59" t="s">
        <v>650</v>
      </c>
      <c r="E82" s="59" t="s">
        <v>380</v>
      </c>
      <c r="F82" s="59" t="s">
        <v>106</v>
      </c>
      <c r="G82" s="59" t="s">
        <v>349</v>
      </c>
      <c r="H82" s="60" t="s">
        <v>651</v>
      </c>
      <c r="I82" s="60"/>
      <c r="J82" s="60" t="s">
        <v>652</v>
      </c>
      <c r="K82" s="60"/>
      <c r="L82" s="60" t="s">
        <v>653</v>
      </c>
      <c r="M82" s="60"/>
      <c r="N82" s="60" t="s">
        <v>654</v>
      </c>
      <c r="O82" s="60"/>
      <c r="P82" s="58" t="s">
        <v>648</v>
      </c>
      <c r="R82" s="60" t="s">
        <v>651</v>
      </c>
      <c r="S82" s="60"/>
      <c r="T82" s="60" t="s">
        <v>652</v>
      </c>
      <c r="U82" s="60"/>
      <c r="V82" s="60" t="s">
        <v>653</v>
      </c>
      <c r="W82" s="60"/>
      <c r="X82" s="60" t="s">
        <v>654</v>
      </c>
      <c r="Y82" s="60"/>
      <c r="Z82" s="84" t="str">
        <f t="shared" si="2"/>
        <v>TM_OVER1</v>
      </c>
      <c r="AA82" s="7"/>
    </row>
    <row r="83" spans="2:27">
      <c r="B83" s="66"/>
      <c r="C83" s="58" t="s">
        <v>655</v>
      </c>
      <c r="D83" s="59" t="s">
        <v>656</v>
      </c>
      <c r="E83" s="59" t="s">
        <v>380</v>
      </c>
      <c r="F83" s="59" t="s">
        <v>106</v>
      </c>
      <c r="G83" s="59" t="s">
        <v>349</v>
      </c>
      <c r="H83" s="60" t="s">
        <v>657</v>
      </c>
      <c r="I83" s="60"/>
      <c r="J83" s="60" t="s">
        <v>658</v>
      </c>
      <c r="K83" s="60"/>
      <c r="L83" s="60" t="s">
        <v>659</v>
      </c>
      <c r="M83" s="60"/>
      <c r="N83" s="60" t="s">
        <v>660</v>
      </c>
      <c r="O83" s="60"/>
      <c r="P83" s="58" t="s">
        <v>648</v>
      </c>
      <c r="R83" s="60" t="s">
        <v>657</v>
      </c>
      <c r="S83" s="60"/>
      <c r="T83" s="60" t="s">
        <v>658</v>
      </c>
      <c r="U83" s="60"/>
      <c r="V83" s="60" t="s">
        <v>659</v>
      </c>
      <c r="W83" s="60"/>
      <c r="X83" s="60" t="s">
        <v>660</v>
      </c>
      <c r="Y83" s="60"/>
      <c r="Z83" s="84" t="str">
        <f t="shared" si="2"/>
        <v>TM_OVER2</v>
      </c>
      <c r="AA83" s="7"/>
    </row>
    <row r="84" spans="2:27">
      <c r="B84" s="66"/>
      <c r="C84" s="58" t="s">
        <v>661</v>
      </c>
      <c r="D84" s="59" t="s">
        <v>662</v>
      </c>
      <c r="E84" s="59" t="s">
        <v>380</v>
      </c>
      <c r="F84" s="59" t="s">
        <v>106</v>
      </c>
      <c r="G84" s="59" t="s">
        <v>349</v>
      </c>
      <c r="H84" s="60" t="s">
        <v>663</v>
      </c>
      <c r="I84" s="60"/>
      <c r="J84" s="60" t="s">
        <v>664</v>
      </c>
      <c r="K84" s="60"/>
      <c r="L84" s="60" t="s">
        <v>665</v>
      </c>
      <c r="M84" s="60"/>
      <c r="N84" s="60" t="s">
        <v>666</v>
      </c>
      <c r="O84" s="60"/>
      <c r="P84" s="58" t="s">
        <v>648</v>
      </c>
      <c r="R84" s="60" t="s">
        <v>663</v>
      </c>
      <c r="S84" s="60"/>
      <c r="T84" s="60" t="s">
        <v>664</v>
      </c>
      <c r="U84" s="60"/>
      <c r="V84" s="60" t="s">
        <v>665</v>
      </c>
      <c r="W84" s="60"/>
      <c r="X84" s="60" t="s">
        <v>666</v>
      </c>
      <c r="Y84" s="60"/>
      <c r="Z84" s="84" t="str">
        <f t="shared" si="2"/>
        <v>TM_OVER3</v>
      </c>
      <c r="AA84" s="7"/>
    </row>
    <row r="85" spans="2:27">
      <c r="B85" s="66"/>
      <c r="C85" s="58" t="s">
        <v>667</v>
      </c>
      <c r="D85" s="59" t="s">
        <v>668</v>
      </c>
      <c r="E85" s="59" t="s">
        <v>380</v>
      </c>
      <c r="F85" s="59" t="s">
        <v>106</v>
      </c>
      <c r="G85" s="59" t="s">
        <v>349</v>
      </c>
      <c r="H85" s="58"/>
      <c r="I85" s="58"/>
      <c r="J85" s="58"/>
      <c r="K85" s="58"/>
      <c r="L85" s="58"/>
      <c r="M85" s="58"/>
      <c r="N85" s="60" t="s">
        <v>669</v>
      </c>
      <c r="O85" s="60" t="s">
        <v>670</v>
      </c>
      <c r="P85" s="58" t="s">
        <v>671</v>
      </c>
      <c r="R85" s="58"/>
      <c r="S85" s="58"/>
      <c r="T85" s="58"/>
      <c r="U85" s="58"/>
      <c r="V85" s="58"/>
      <c r="W85" s="58"/>
      <c r="X85" s="60" t="s">
        <v>669</v>
      </c>
      <c r="Y85" s="60" t="s">
        <v>670</v>
      </c>
      <c r="Z85" s="84" t="str">
        <f t="shared" si="2"/>
        <v>TM_STATE0</v>
      </c>
      <c r="AA85" s="7"/>
    </row>
    <row r="86" spans="2:27">
      <c r="B86" s="66"/>
      <c r="C86" s="58" t="s">
        <v>672</v>
      </c>
      <c r="D86" s="59" t="s">
        <v>673</v>
      </c>
      <c r="E86" s="59" t="s">
        <v>380</v>
      </c>
      <c r="F86" s="59" t="s">
        <v>106</v>
      </c>
      <c r="G86" s="59" t="s">
        <v>349</v>
      </c>
      <c r="H86" s="60" t="s">
        <v>669</v>
      </c>
      <c r="I86" s="60"/>
      <c r="J86" s="58"/>
      <c r="K86" s="60" t="s">
        <v>670</v>
      </c>
      <c r="L86" s="60"/>
      <c r="M86" s="60"/>
      <c r="N86" s="60"/>
      <c r="O86" s="60"/>
      <c r="P86" s="58" t="s">
        <v>674</v>
      </c>
      <c r="R86" s="60" t="s">
        <v>669</v>
      </c>
      <c r="S86" s="60"/>
      <c r="T86" s="58"/>
      <c r="U86" s="60" t="s">
        <v>670</v>
      </c>
      <c r="V86" s="60"/>
      <c r="W86" s="60"/>
      <c r="X86" s="60"/>
      <c r="Y86" s="60"/>
      <c r="Z86" s="84" t="str">
        <f t="shared" ref="Z86:Z107" si="5">C86</f>
        <v>TM_STATE1</v>
      </c>
      <c r="AA86" s="7"/>
    </row>
    <row r="87" spans="2:27">
      <c r="B87" s="66"/>
      <c r="C87" s="58" t="s">
        <v>675</v>
      </c>
      <c r="D87" s="59" t="s">
        <v>676</v>
      </c>
      <c r="E87" s="59" t="s">
        <v>380</v>
      </c>
      <c r="F87" s="59" t="s">
        <v>106</v>
      </c>
      <c r="G87" s="59" t="s">
        <v>349</v>
      </c>
      <c r="H87" s="58"/>
      <c r="I87" s="58"/>
      <c r="J87" s="58"/>
      <c r="K87" s="58"/>
      <c r="L87" s="58"/>
      <c r="M87" s="58"/>
      <c r="N87" s="58"/>
      <c r="O87" s="60" t="s">
        <v>677</v>
      </c>
      <c r="P87" s="58" t="s">
        <v>678</v>
      </c>
      <c r="R87" s="58"/>
      <c r="S87" s="58"/>
      <c r="T87" s="58"/>
      <c r="U87" s="58"/>
      <c r="V87" s="58"/>
      <c r="W87" s="58"/>
      <c r="X87" s="58"/>
      <c r="Y87" s="60" t="s">
        <v>677</v>
      </c>
      <c r="Z87" s="84" t="str">
        <f t="shared" si="5"/>
        <v>CPCLKM_CMD</v>
      </c>
      <c r="AA87" s="7"/>
    </row>
    <row r="88" spans="2:27">
      <c r="B88" s="66"/>
      <c r="C88" s="58" t="s">
        <v>679</v>
      </c>
      <c r="D88" s="59" t="s">
        <v>680</v>
      </c>
      <c r="E88" s="59" t="s">
        <v>380</v>
      </c>
      <c r="F88" s="59" t="s">
        <v>106</v>
      </c>
      <c r="G88" s="59" t="s">
        <v>349</v>
      </c>
      <c r="H88" s="60" t="s">
        <v>681</v>
      </c>
      <c r="I88" s="58"/>
      <c r="J88" s="58"/>
      <c r="K88" s="58"/>
      <c r="L88" s="60" t="s">
        <v>682</v>
      </c>
      <c r="M88" s="60" t="s">
        <v>683</v>
      </c>
      <c r="N88" s="60" t="s">
        <v>684</v>
      </c>
      <c r="O88" s="60" t="s">
        <v>685</v>
      </c>
      <c r="P88" s="58" t="s">
        <v>686</v>
      </c>
      <c r="R88" s="60" t="s">
        <v>681</v>
      </c>
      <c r="S88" s="58"/>
      <c r="T88" s="58"/>
      <c r="U88" s="58"/>
      <c r="V88" s="60" t="s">
        <v>682</v>
      </c>
      <c r="W88" s="60" t="s">
        <v>683</v>
      </c>
      <c r="X88" s="60" t="s">
        <v>684</v>
      </c>
      <c r="Y88" s="60" t="s">
        <v>685</v>
      </c>
      <c r="Z88" s="84" t="str">
        <f t="shared" si="5"/>
        <v>CPCLKM_STATUS</v>
      </c>
      <c r="AA88" s="7"/>
    </row>
    <row r="89" ht="15" customHeight="1" spans="2:27">
      <c r="B89" s="66" t="s">
        <v>687</v>
      </c>
      <c r="C89" s="58" t="s">
        <v>688</v>
      </c>
      <c r="D89" s="59" t="s">
        <v>689</v>
      </c>
      <c r="E89" s="59" t="s">
        <v>380</v>
      </c>
      <c r="F89" s="59" t="s">
        <v>162</v>
      </c>
      <c r="G89" s="59" t="s">
        <v>349</v>
      </c>
      <c r="H89" s="58"/>
      <c r="I89" s="58"/>
      <c r="J89" s="58"/>
      <c r="K89" s="60" t="s">
        <v>690</v>
      </c>
      <c r="L89" s="58"/>
      <c r="M89" s="58"/>
      <c r="N89" s="60" t="s">
        <v>691</v>
      </c>
      <c r="O89" s="60"/>
      <c r="P89" s="58" t="s">
        <v>692</v>
      </c>
      <c r="R89" s="58"/>
      <c r="S89" s="58"/>
      <c r="T89" s="58"/>
      <c r="U89" s="60" t="s">
        <v>690</v>
      </c>
      <c r="V89" s="58"/>
      <c r="W89" s="58"/>
      <c r="X89" s="60" t="s">
        <v>691</v>
      </c>
      <c r="Y89" s="60"/>
      <c r="Z89" s="84" t="str">
        <f t="shared" si="5"/>
        <v>NVM_CTRL</v>
      </c>
      <c r="AA89" s="7"/>
    </row>
    <row r="90" spans="2:27">
      <c r="B90" s="66"/>
      <c r="C90" s="58" t="s">
        <v>693</v>
      </c>
      <c r="D90" s="59" t="s">
        <v>694</v>
      </c>
      <c r="E90" s="59" t="s">
        <v>380</v>
      </c>
      <c r="F90" s="59" t="s">
        <v>106</v>
      </c>
      <c r="G90" s="59" t="s">
        <v>349</v>
      </c>
      <c r="H90" s="58"/>
      <c r="I90" s="60" t="s">
        <v>542</v>
      </c>
      <c r="J90" s="60"/>
      <c r="K90" s="60"/>
      <c r="L90" s="60"/>
      <c r="M90" s="60"/>
      <c r="N90" s="60"/>
      <c r="O90" s="60"/>
      <c r="P90" s="58" t="s">
        <v>695</v>
      </c>
      <c r="R90" s="58"/>
      <c r="S90" s="60" t="s">
        <v>542</v>
      </c>
      <c r="T90" s="60"/>
      <c r="U90" s="60"/>
      <c r="V90" s="60"/>
      <c r="W90" s="60"/>
      <c r="X90" s="60"/>
      <c r="Y90" s="60"/>
      <c r="Z90" s="84" t="str">
        <f t="shared" si="5"/>
        <v>NVM_ADDR</v>
      </c>
      <c r="AA90" s="7"/>
    </row>
    <row r="91" spans="2:27">
      <c r="B91" s="66"/>
      <c r="C91" s="58" t="s">
        <v>696</v>
      </c>
      <c r="D91" s="59" t="s">
        <v>697</v>
      </c>
      <c r="E91" s="59" t="s">
        <v>380</v>
      </c>
      <c r="F91" s="59" t="s">
        <v>106</v>
      </c>
      <c r="G91" s="59" t="s">
        <v>349</v>
      </c>
      <c r="H91" s="60" t="s">
        <v>698</v>
      </c>
      <c r="I91" s="58"/>
      <c r="J91" s="60" t="s">
        <v>699</v>
      </c>
      <c r="K91" s="60"/>
      <c r="L91" s="58"/>
      <c r="M91" s="60" t="s">
        <v>700</v>
      </c>
      <c r="N91" s="60" t="s">
        <v>701</v>
      </c>
      <c r="O91" s="60" t="s">
        <v>702</v>
      </c>
      <c r="P91" s="58" t="s">
        <v>703</v>
      </c>
      <c r="R91" s="60" t="s">
        <v>698</v>
      </c>
      <c r="S91" s="58"/>
      <c r="T91" s="60" t="s">
        <v>699</v>
      </c>
      <c r="U91" s="60"/>
      <c r="V91" s="58"/>
      <c r="W91" s="60" t="s">
        <v>700</v>
      </c>
      <c r="X91" s="60" t="s">
        <v>701</v>
      </c>
      <c r="Y91" s="60" t="s">
        <v>702</v>
      </c>
      <c r="Z91" s="84" t="str">
        <f t="shared" si="5"/>
        <v>NVM_CMD</v>
      </c>
      <c r="AA91" s="7"/>
    </row>
    <row r="92" spans="2:27">
      <c r="B92" s="66"/>
      <c r="C92" s="58" t="s">
        <v>704</v>
      </c>
      <c r="D92" s="59" t="s">
        <v>705</v>
      </c>
      <c r="E92" s="59" t="s">
        <v>357</v>
      </c>
      <c r="F92" s="59" t="s">
        <v>106</v>
      </c>
      <c r="G92" s="59" t="s">
        <v>349</v>
      </c>
      <c r="H92" s="60" t="s">
        <v>350</v>
      </c>
      <c r="I92" s="60" t="s">
        <v>351</v>
      </c>
      <c r="J92" s="60" t="s">
        <v>706</v>
      </c>
      <c r="K92" s="60"/>
      <c r="L92" s="60" t="s">
        <v>707</v>
      </c>
      <c r="M92" s="60" t="s">
        <v>708</v>
      </c>
      <c r="N92" s="60" t="s">
        <v>709</v>
      </c>
      <c r="O92" s="60" t="s">
        <v>710</v>
      </c>
      <c r="P92" s="58" t="s">
        <v>711</v>
      </c>
      <c r="R92" s="60" t="s">
        <v>350</v>
      </c>
      <c r="S92" s="60" t="s">
        <v>351</v>
      </c>
      <c r="T92" s="60" t="s">
        <v>706</v>
      </c>
      <c r="U92" s="60"/>
      <c r="V92" s="60" t="s">
        <v>707</v>
      </c>
      <c r="W92" s="60" t="s">
        <v>708</v>
      </c>
      <c r="X92" s="60" t="s">
        <v>709</v>
      </c>
      <c r="Y92" s="60" t="s">
        <v>710</v>
      </c>
      <c r="Z92" s="84" t="str">
        <f t="shared" si="5"/>
        <v>NVM_STATUS</v>
      </c>
      <c r="AA92" s="7"/>
    </row>
    <row r="93" spans="2:27">
      <c r="B93" s="66"/>
      <c r="C93" s="58" t="s">
        <v>712</v>
      </c>
      <c r="D93" s="59" t="s">
        <v>713</v>
      </c>
      <c r="E93" s="59" t="s">
        <v>380</v>
      </c>
      <c r="F93" s="59" t="s">
        <v>106</v>
      </c>
      <c r="G93" s="59" t="s">
        <v>349</v>
      </c>
      <c r="H93" s="60" t="s">
        <v>714</v>
      </c>
      <c r="I93" s="60" t="s">
        <v>715</v>
      </c>
      <c r="J93" s="58"/>
      <c r="K93" s="58"/>
      <c r="L93" s="60" t="s">
        <v>716</v>
      </c>
      <c r="M93" s="60"/>
      <c r="N93" s="60"/>
      <c r="O93" s="60" t="s">
        <v>717</v>
      </c>
      <c r="P93" s="58" t="s">
        <v>718</v>
      </c>
      <c r="R93" s="60" t="s">
        <v>714</v>
      </c>
      <c r="S93" s="60" t="s">
        <v>715</v>
      </c>
      <c r="T93" s="58"/>
      <c r="U93" s="58"/>
      <c r="V93" s="60" t="s">
        <v>716</v>
      </c>
      <c r="W93" s="60"/>
      <c r="X93" s="60"/>
      <c r="Y93" s="60" t="s">
        <v>717</v>
      </c>
      <c r="Z93" s="84" t="str">
        <f t="shared" si="5"/>
        <v>OTP_CTRL0</v>
      </c>
      <c r="AA93" s="7"/>
    </row>
    <row r="94" spans="2:27">
      <c r="B94" s="66"/>
      <c r="C94" s="58" t="s">
        <v>719</v>
      </c>
      <c r="D94" s="59" t="s">
        <v>720</v>
      </c>
      <c r="E94" s="59" t="s">
        <v>380</v>
      </c>
      <c r="F94" s="59" t="s">
        <v>106</v>
      </c>
      <c r="G94" s="59" t="s">
        <v>349</v>
      </c>
      <c r="H94" s="58"/>
      <c r="I94" s="58"/>
      <c r="J94" s="58"/>
      <c r="K94" s="58"/>
      <c r="L94" s="58"/>
      <c r="M94" s="58"/>
      <c r="N94" s="58"/>
      <c r="O94" s="60" t="s">
        <v>721</v>
      </c>
      <c r="P94" s="58" t="s">
        <v>722</v>
      </c>
      <c r="R94" s="58"/>
      <c r="S94" s="58"/>
      <c r="T94" s="58"/>
      <c r="U94" s="58"/>
      <c r="V94" s="58"/>
      <c r="W94" s="58"/>
      <c r="X94" s="58"/>
      <c r="Y94" s="60" t="s">
        <v>721</v>
      </c>
      <c r="Z94" s="84" t="str">
        <f t="shared" si="5"/>
        <v>OTP_CTRL1</v>
      </c>
      <c r="AA94" s="7"/>
    </row>
    <row r="95" spans="2:27">
      <c r="B95" s="66"/>
      <c r="C95" s="58" t="s">
        <v>723</v>
      </c>
      <c r="D95" s="59" t="s">
        <v>724</v>
      </c>
      <c r="E95" s="59" t="s">
        <v>380</v>
      </c>
      <c r="F95" s="59" t="s">
        <v>269</v>
      </c>
      <c r="G95" s="59" t="s">
        <v>349</v>
      </c>
      <c r="H95" s="60" t="s">
        <v>725</v>
      </c>
      <c r="I95" s="60"/>
      <c r="J95" s="60"/>
      <c r="K95" s="60"/>
      <c r="L95" s="60"/>
      <c r="M95" s="60"/>
      <c r="N95" s="60"/>
      <c r="O95" s="60"/>
      <c r="P95" s="58" t="s">
        <v>726</v>
      </c>
      <c r="R95" s="60" t="s">
        <v>725</v>
      </c>
      <c r="S95" s="60"/>
      <c r="T95" s="60"/>
      <c r="U95" s="60"/>
      <c r="V95" s="60"/>
      <c r="W95" s="60"/>
      <c r="X95" s="60"/>
      <c r="Y95" s="60"/>
      <c r="Z95" s="84" t="str">
        <f t="shared" si="5"/>
        <v>OTP_WTIM0</v>
      </c>
      <c r="AA95" s="7"/>
    </row>
    <row r="96" spans="2:27">
      <c r="B96" s="66"/>
      <c r="C96" s="58" t="s">
        <v>727</v>
      </c>
      <c r="D96" s="59" t="s">
        <v>728</v>
      </c>
      <c r="E96" s="59" t="s">
        <v>380</v>
      </c>
      <c r="F96" s="59" t="s">
        <v>149</v>
      </c>
      <c r="G96" s="59" t="s">
        <v>349</v>
      </c>
      <c r="H96" s="60" t="s">
        <v>729</v>
      </c>
      <c r="I96" s="60"/>
      <c r="J96" s="60"/>
      <c r="K96" s="60"/>
      <c r="L96" s="60"/>
      <c r="M96" s="60"/>
      <c r="N96" s="60"/>
      <c r="O96" s="60"/>
      <c r="P96" s="58" t="s">
        <v>726</v>
      </c>
      <c r="R96" s="60" t="s">
        <v>729</v>
      </c>
      <c r="S96" s="60"/>
      <c r="T96" s="60"/>
      <c r="U96" s="60"/>
      <c r="V96" s="60"/>
      <c r="W96" s="60"/>
      <c r="X96" s="60"/>
      <c r="Y96" s="60"/>
      <c r="Z96" s="84" t="str">
        <f t="shared" si="5"/>
        <v>OTP_WTIM1</v>
      </c>
      <c r="AA96" s="7"/>
    </row>
    <row r="97" spans="2:27">
      <c r="B97" s="66"/>
      <c r="C97" s="58" t="s">
        <v>730</v>
      </c>
      <c r="D97" s="59" t="s">
        <v>731</v>
      </c>
      <c r="E97" s="59" t="s">
        <v>380</v>
      </c>
      <c r="F97" s="59" t="s">
        <v>106</v>
      </c>
      <c r="G97" s="59" t="s">
        <v>349</v>
      </c>
      <c r="H97" s="60" t="s">
        <v>546</v>
      </c>
      <c r="I97" s="60"/>
      <c r="J97" s="60"/>
      <c r="K97" s="60"/>
      <c r="L97" s="60"/>
      <c r="M97" s="60"/>
      <c r="N97" s="60"/>
      <c r="O97" s="60"/>
      <c r="P97" s="58" t="s">
        <v>732</v>
      </c>
      <c r="R97" s="60" t="s">
        <v>546</v>
      </c>
      <c r="S97" s="60"/>
      <c r="T97" s="60"/>
      <c r="U97" s="60"/>
      <c r="V97" s="60"/>
      <c r="W97" s="60"/>
      <c r="X97" s="60"/>
      <c r="Y97" s="60"/>
      <c r="Z97" s="84" t="str">
        <f t="shared" si="5"/>
        <v>NVM_DATA0</v>
      </c>
      <c r="AA97" s="7"/>
    </row>
    <row r="98" spans="2:27">
      <c r="B98" s="66"/>
      <c r="C98" s="58" t="s">
        <v>733</v>
      </c>
      <c r="D98" s="59" t="s">
        <v>734</v>
      </c>
      <c r="E98" s="59" t="s">
        <v>380</v>
      </c>
      <c r="F98" s="59" t="s">
        <v>106</v>
      </c>
      <c r="G98" s="59" t="s">
        <v>349</v>
      </c>
      <c r="H98" s="60" t="s">
        <v>550</v>
      </c>
      <c r="I98" s="60"/>
      <c r="J98" s="60"/>
      <c r="K98" s="60"/>
      <c r="L98" s="60"/>
      <c r="M98" s="60"/>
      <c r="N98" s="60"/>
      <c r="O98" s="60"/>
      <c r="P98" s="58" t="s">
        <v>732</v>
      </c>
      <c r="R98" s="60" t="s">
        <v>550</v>
      </c>
      <c r="S98" s="60"/>
      <c r="T98" s="60"/>
      <c r="U98" s="60"/>
      <c r="V98" s="60"/>
      <c r="W98" s="60"/>
      <c r="X98" s="60"/>
      <c r="Y98" s="60"/>
      <c r="Z98" s="84" t="str">
        <f t="shared" si="5"/>
        <v>NVM_DATA1</v>
      </c>
      <c r="AA98" s="7"/>
    </row>
    <row r="99" spans="2:27">
      <c r="B99" s="66"/>
      <c r="C99" s="58" t="s">
        <v>735</v>
      </c>
      <c r="D99" s="59" t="s">
        <v>736</v>
      </c>
      <c r="E99" s="59" t="s">
        <v>380</v>
      </c>
      <c r="F99" s="59" t="s">
        <v>106</v>
      </c>
      <c r="G99" s="59" t="s">
        <v>349</v>
      </c>
      <c r="H99" s="60" t="s">
        <v>554</v>
      </c>
      <c r="I99" s="60"/>
      <c r="J99" s="60"/>
      <c r="K99" s="60"/>
      <c r="L99" s="60"/>
      <c r="M99" s="60"/>
      <c r="N99" s="60"/>
      <c r="O99" s="60"/>
      <c r="P99" s="58" t="s">
        <v>732</v>
      </c>
      <c r="R99" s="60" t="s">
        <v>554</v>
      </c>
      <c r="S99" s="60"/>
      <c r="T99" s="60"/>
      <c r="U99" s="60"/>
      <c r="V99" s="60"/>
      <c r="W99" s="60"/>
      <c r="X99" s="60"/>
      <c r="Y99" s="60"/>
      <c r="Z99" s="84" t="str">
        <f t="shared" si="5"/>
        <v>NVM_DATA2</v>
      </c>
      <c r="AA99" s="7"/>
    </row>
    <row r="100" spans="2:27">
      <c r="B100" s="66"/>
      <c r="C100" s="58" t="s">
        <v>737</v>
      </c>
      <c r="D100" s="59" t="s">
        <v>738</v>
      </c>
      <c r="E100" s="59" t="s">
        <v>380</v>
      </c>
      <c r="F100" s="59" t="s">
        <v>106</v>
      </c>
      <c r="G100" s="59" t="s">
        <v>349</v>
      </c>
      <c r="H100" s="60" t="s">
        <v>558</v>
      </c>
      <c r="I100" s="60"/>
      <c r="J100" s="60"/>
      <c r="K100" s="60"/>
      <c r="L100" s="60"/>
      <c r="M100" s="60"/>
      <c r="N100" s="60"/>
      <c r="O100" s="60"/>
      <c r="P100" s="58" t="s">
        <v>732</v>
      </c>
      <c r="R100" s="60" t="s">
        <v>558</v>
      </c>
      <c r="S100" s="60"/>
      <c r="T100" s="60"/>
      <c r="U100" s="60"/>
      <c r="V100" s="60"/>
      <c r="W100" s="60"/>
      <c r="X100" s="60"/>
      <c r="Y100" s="60"/>
      <c r="Z100" s="84" t="str">
        <f t="shared" si="5"/>
        <v>NVM_DATA3</v>
      </c>
      <c r="AA100" s="7"/>
    </row>
    <row r="101" spans="2:27">
      <c r="B101" s="66"/>
      <c r="C101" s="58" t="s">
        <v>739</v>
      </c>
      <c r="D101" s="59" t="s">
        <v>740</v>
      </c>
      <c r="E101" s="59" t="s">
        <v>380</v>
      </c>
      <c r="F101" s="59" t="s">
        <v>106</v>
      </c>
      <c r="G101" s="59" t="s">
        <v>349</v>
      </c>
      <c r="H101" s="60" t="s">
        <v>562</v>
      </c>
      <c r="I101" s="60"/>
      <c r="J101" s="60"/>
      <c r="K101" s="60"/>
      <c r="L101" s="60"/>
      <c r="M101" s="60"/>
      <c r="N101" s="60"/>
      <c r="O101" s="60"/>
      <c r="P101" s="58" t="s">
        <v>732</v>
      </c>
      <c r="R101" s="60" t="s">
        <v>562</v>
      </c>
      <c r="S101" s="60"/>
      <c r="T101" s="60"/>
      <c r="U101" s="60"/>
      <c r="V101" s="60"/>
      <c r="W101" s="60"/>
      <c r="X101" s="60"/>
      <c r="Y101" s="60"/>
      <c r="Z101" s="84" t="str">
        <f t="shared" si="5"/>
        <v>NVM_DATA4</v>
      </c>
      <c r="AA101" s="7"/>
    </row>
    <row r="102" spans="2:27">
      <c r="B102" s="66"/>
      <c r="C102" s="58" t="s">
        <v>741</v>
      </c>
      <c r="D102" s="59" t="s">
        <v>742</v>
      </c>
      <c r="E102" s="59" t="s">
        <v>380</v>
      </c>
      <c r="F102" s="59" t="s">
        <v>106</v>
      </c>
      <c r="G102" s="59" t="s">
        <v>349</v>
      </c>
      <c r="H102" s="60" t="s">
        <v>566</v>
      </c>
      <c r="I102" s="60"/>
      <c r="J102" s="60"/>
      <c r="K102" s="60"/>
      <c r="L102" s="60"/>
      <c r="M102" s="60"/>
      <c r="N102" s="60"/>
      <c r="O102" s="60"/>
      <c r="P102" s="58" t="s">
        <v>732</v>
      </c>
      <c r="R102" s="60" t="s">
        <v>566</v>
      </c>
      <c r="S102" s="60"/>
      <c r="T102" s="60"/>
      <c r="U102" s="60"/>
      <c r="V102" s="60"/>
      <c r="W102" s="60"/>
      <c r="X102" s="60"/>
      <c r="Y102" s="60"/>
      <c r="Z102" s="84" t="str">
        <f t="shared" si="5"/>
        <v>NVM_DATA5</v>
      </c>
      <c r="AA102" s="7"/>
    </row>
    <row r="103" spans="2:27">
      <c r="B103" s="66"/>
      <c r="C103" s="58" t="s">
        <v>743</v>
      </c>
      <c r="D103" s="59" t="s">
        <v>744</v>
      </c>
      <c r="E103" s="59" t="s">
        <v>380</v>
      </c>
      <c r="F103" s="59" t="s">
        <v>106</v>
      </c>
      <c r="G103" s="59" t="s">
        <v>349</v>
      </c>
      <c r="H103" s="60" t="s">
        <v>570</v>
      </c>
      <c r="I103" s="60"/>
      <c r="J103" s="60"/>
      <c r="K103" s="60"/>
      <c r="L103" s="60"/>
      <c r="M103" s="60"/>
      <c r="N103" s="60"/>
      <c r="O103" s="60"/>
      <c r="P103" s="58" t="s">
        <v>732</v>
      </c>
      <c r="R103" s="60" t="s">
        <v>570</v>
      </c>
      <c r="S103" s="60"/>
      <c r="T103" s="60"/>
      <c r="U103" s="60"/>
      <c r="V103" s="60"/>
      <c r="W103" s="60"/>
      <c r="X103" s="60"/>
      <c r="Y103" s="60"/>
      <c r="Z103" s="84" t="str">
        <f t="shared" si="5"/>
        <v>NVM_DATA6</v>
      </c>
      <c r="AA103" s="7"/>
    </row>
    <row r="104" spans="2:27">
      <c r="B104" s="66"/>
      <c r="C104" s="58" t="s">
        <v>745</v>
      </c>
      <c r="D104" s="59" t="s">
        <v>746</v>
      </c>
      <c r="E104" s="59" t="s">
        <v>380</v>
      </c>
      <c r="F104" s="59" t="s">
        <v>106</v>
      </c>
      <c r="G104" s="59" t="s">
        <v>349</v>
      </c>
      <c r="H104" s="60" t="s">
        <v>574</v>
      </c>
      <c r="I104" s="60"/>
      <c r="J104" s="60"/>
      <c r="K104" s="60"/>
      <c r="L104" s="60"/>
      <c r="M104" s="60"/>
      <c r="N104" s="60"/>
      <c r="O104" s="60"/>
      <c r="P104" s="58" t="s">
        <v>732</v>
      </c>
      <c r="R104" s="60" t="s">
        <v>574</v>
      </c>
      <c r="S104" s="60"/>
      <c r="T104" s="60"/>
      <c r="U104" s="60"/>
      <c r="V104" s="60"/>
      <c r="W104" s="60"/>
      <c r="X104" s="60"/>
      <c r="Y104" s="60"/>
      <c r="Z104" s="84" t="str">
        <f t="shared" si="5"/>
        <v>NVM_DATA7</v>
      </c>
      <c r="AA104" s="7"/>
    </row>
    <row r="105" spans="2:27">
      <c r="B105" s="66" t="s">
        <v>747</v>
      </c>
      <c r="C105" s="58" t="s">
        <v>748</v>
      </c>
      <c r="D105" s="59" t="s">
        <v>749</v>
      </c>
      <c r="E105" s="59" t="s">
        <v>357</v>
      </c>
      <c r="F105" s="59" t="s">
        <v>106</v>
      </c>
      <c r="G105" s="59" t="s">
        <v>349</v>
      </c>
      <c r="H105" s="60" t="s">
        <v>750</v>
      </c>
      <c r="I105" s="60"/>
      <c r="J105" s="60"/>
      <c r="K105" s="60"/>
      <c r="L105" s="60" t="s">
        <v>751</v>
      </c>
      <c r="M105" s="60"/>
      <c r="N105" s="60"/>
      <c r="O105" s="60"/>
      <c r="P105" s="58" t="s">
        <v>752</v>
      </c>
      <c r="R105" s="60" t="s">
        <v>750</v>
      </c>
      <c r="S105" s="60"/>
      <c r="T105" s="60"/>
      <c r="U105" s="60"/>
      <c r="V105" s="60" t="s">
        <v>751</v>
      </c>
      <c r="W105" s="60"/>
      <c r="X105" s="60"/>
      <c r="Y105" s="60"/>
      <c r="Z105" s="84" t="str">
        <f t="shared" si="5"/>
        <v>DIE_REV</v>
      </c>
      <c r="AA105" s="7"/>
    </row>
    <row r="106" spans="2:27">
      <c r="B106" s="66"/>
      <c r="C106" s="58" t="s">
        <v>753</v>
      </c>
      <c r="D106" s="59" t="s">
        <v>754</v>
      </c>
      <c r="E106" s="59" t="s">
        <v>357</v>
      </c>
      <c r="F106" s="59" t="s">
        <v>180</v>
      </c>
      <c r="G106" s="59" t="s">
        <v>349</v>
      </c>
      <c r="H106" s="60" t="s">
        <v>747</v>
      </c>
      <c r="I106" s="60"/>
      <c r="J106" s="60"/>
      <c r="K106" s="60"/>
      <c r="L106" s="60"/>
      <c r="M106" s="60"/>
      <c r="N106" s="60"/>
      <c r="O106" s="60"/>
      <c r="P106" s="58" t="s">
        <v>755</v>
      </c>
      <c r="R106" s="60" t="s">
        <v>747</v>
      </c>
      <c r="S106" s="60"/>
      <c r="T106" s="60"/>
      <c r="U106" s="60"/>
      <c r="V106" s="60"/>
      <c r="W106" s="60"/>
      <c r="X106" s="60"/>
      <c r="Y106" s="60"/>
      <c r="Z106" s="84" t="str">
        <f t="shared" si="5"/>
        <v>CHIP_ID</v>
      </c>
      <c r="AA106" s="7"/>
    </row>
    <row r="107" spans="2:27">
      <c r="B107" s="66"/>
      <c r="C107" s="58" t="s">
        <v>756</v>
      </c>
      <c r="D107" s="59" t="s">
        <v>757</v>
      </c>
      <c r="E107" s="59" t="s">
        <v>357</v>
      </c>
      <c r="F107" s="59" t="s">
        <v>758</v>
      </c>
      <c r="G107" s="59" t="s">
        <v>349</v>
      </c>
      <c r="H107" s="60" t="s">
        <v>747</v>
      </c>
      <c r="I107" s="60"/>
      <c r="J107" s="60"/>
      <c r="K107" s="60"/>
      <c r="L107" s="60"/>
      <c r="M107" s="60"/>
      <c r="N107" s="60"/>
      <c r="O107" s="60"/>
      <c r="P107" s="58" t="s">
        <v>759</v>
      </c>
      <c r="R107" s="60" t="s">
        <v>747</v>
      </c>
      <c r="S107" s="60"/>
      <c r="T107" s="60"/>
      <c r="U107" s="60"/>
      <c r="V107" s="60"/>
      <c r="W107" s="60"/>
      <c r="X107" s="60"/>
      <c r="Y107" s="60"/>
      <c r="Z107" s="84" t="str">
        <f t="shared" si="5"/>
        <v>PSEMI_ID</v>
      </c>
      <c r="AA107" s="7"/>
    </row>
    <row r="109" spans="2:3">
      <c r="B109" s="74" t="s">
        <v>760</v>
      </c>
      <c r="C109" s="75"/>
    </row>
    <row r="110" spans="2:3">
      <c r="B110" s="74" t="s">
        <v>761</v>
      </c>
      <c r="C110" s="76"/>
    </row>
  </sheetData>
  <mergeCells count="277">
    <mergeCell ref="H5:I5"/>
    <mergeCell ref="R5:S5"/>
    <mergeCell ref="H7:I7"/>
    <mergeCell ref="R7:S7"/>
    <mergeCell ref="H8:I8"/>
    <mergeCell ref="K8:O8"/>
    <mergeCell ref="R8:S8"/>
    <mergeCell ref="U8:Y8"/>
    <mergeCell ref="H9:O9"/>
    <mergeCell ref="R9:Y9"/>
    <mergeCell ref="H10:K10"/>
    <mergeCell ref="L10:O10"/>
    <mergeCell ref="R10:U10"/>
    <mergeCell ref="V10:Y10"/>
    <mergeCell ref="H11:J11"/>
    <mergeCell ref="L11:M11"/>
    <mergeCell ref="N11:O11"/>
    <mergeCell ref="R11:T11"/>
    <mergeCell ref="V11:W11"/>
    <mergeCell ref="X11:Y11"/>
    <mergeCell ref="H12:I12"/>
    <mergeCell ref="J12:O12"/>
    <mergeCell ref="R12:S12"/>
    <mergeCell ref="T12:Y12"/>
    <mergeCell ref="H13:I13"/>
    <mergeCell ref="J13:O13"/>
    <mergeCell ref="R13:S13"/>
    <mergeCell ref="T13:Y13"/>
    <mergeCell ref="H14:I14"/>
    <mergeCell ref="J14:O14"/>
    <mergeCell ref="R14:S14"/>
    <mergeCell ref="T14:Y14"/>
    <mergeCell ref="H15:O15"/>
    <mergeCell ref="R15:Y15"/>
    <mergeCell ref="H16:K16"/>
    <mergeCell ref="L16:O16"/>
    <mergeCell ref="R16:U16"/>
    <mergeCell ref="V16:Y16"/>
    <mergeCell ref="H17:I17"/>
    <mergeCell ref="J17:O17"/>
    <mergeCell ref="R17:S17"/>
    <mergeCell ref="T17:Y17"/>
    <mergeCell ref="H18:I18"/>
    <mergeCell ref="J18:O18"/>
    <mergeCell ref="R18:S18"/>
    <mergeCell ref="T18:Y18"/>
    <mergeCell ref="H19:K19"/>
    <mergeCell ref="L19:O19"/>
    <mergeCell ref="R19:U19"/>
    <mergeCell ref="V19:Y19"/>
    <mergeCell ref="H20:O20"/>
    <mergeCell ref="R20:Y20"/>
    <mergeCell ref="H21:O21"/>
    <mergeCell ref="R21:Y21"/>
    <mergeCell ref="H22:O22"/>
    <mergeCell ref="R22:Y22"/>
    <mergeCell ref="H23:O23"/>
    <mergeCell ref="R23:Y23"/>
    <mergeCell ref="H24:O24"/>
    <mergeCell ref="R24:Y24"/>
    <mergeCell ref="H25:O25"/>
    <mergeCell ref="R25:Y25"/>
    <mergeCell ref="H26:O26"/>
    <mergeCell ref="R26:Y26"/>
    <mergeCell ref="H27:O27"/>
    <mergeCell ref="R27:Y27"/>
    <mergeCell ref="H28:L28"/>
    <mergeCell ref="H29:I29"/>
    <mergeCell ref="J29:K29"/>
    <mergeCell ref="L29:M29"/>
    <mergeCell ref="N29:O29"/>
    <mergeCell ref="H30:J30"/>
    <mergeCell ref="K30:O30"/>
    <mergeCell ref="H31:O31"/>
    <mergeCell ref="H32:K32"/>
    <mergeCell ref="L32:M32"/>
    <mergeCell ref="H33:O33"/>
    <mergeCell ref="H34:K34"/>
    <mergeCell ref="L34:O34"/>
    <mergeCell ref="I35:O35"/>
    <mergeCell ref="H36:O36"/>
    <mergeCell ref="H37:O37"/>
    <mergeCell ref="H38:K38"/>
    <mergeCell ref="L38:O38"/>
    <mergeCell ref="H39:O39"/>
    <mergeCell ref="H40:K40"/>
    <mergeCell ref="L40:O40"/>
    <mergeCell ref="H41:K41"/>
    <mergeCell ref="L41:O41"/>
    <mergeCell ref="H42:I42"/>
    <mergeCell ref="H43:J43"/>
    <mergeCell ref="H44:J44"/>
    <mergeCell ref="N44:O44"/>
    <mergeCell ref="H45:I45"/>
    <mergeCell ref="K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8:I48"/>
    <mergeCell ref="J48:K48"/>
    <mergeCell ref="L48:M48"/>
    <mergeCell ref="N48:O48"/>
    <mergeCell ref="H49:M49"/>
    <mergeCell ref="N49:O49"/>
    <mergeCell ref="I50:K50"/>
    <mergeCell ref="M50:O50"/>
    <mergeCell ref="I51:K51"/>
    <mergeCell ref="M51:O51"/>
    <mergeCell ref="I52:K52"/>
    <mergeCell ref="M52:O52"/>
    <mergeCell ref="I53:K53"/>
    <mergeCell ref="M53:O53"/>
    <mergeCell ref="H54:L54"/>
    <mergeCell ref="M54:O54"/>
    <mergeCell ref="I55:O55"/>
    <mergeCell ref="S55:Y55"/>
    <mergeCell ref="H56:N56"/>
    <mergeCell ref="R56:X56"/>
    <mergeCell ref="H57:K57"/>
    <mergeCell ref="L57:O57"/>
    <mergeCell ref="R57:U57"/>
    <mergeCell ref="V57:Y57"/>
    <mergeCell ref="H58:M58"/>
    <mergeCell ref="R58:W58"/>
    <mergeCell ref="H59:O59"/>
    <mergeCell ref="R59:Y59"/>
    <mergeCell ref="H60:I60"/>
    <mergeCell ref="J60:L60"/>
    <mergeCell ref="M60:O60"/>
    <mergeCell ref="R60:S60"/>
    <mergeCell ref="T60:V60"/>
    <mergeCell ref="W60:Y60"/>
    <mergeCell ref="H61:O61"/>
    <mergeCell ref="R61:Y61"/>
    <mergeCell ref="H62:O62"/>
    <mergeCell ref="R62:Y62"/>
    <mergeCell ref="H63:O63"/>
    <mergeCell ref="R63:Y63"/>
    <mergeCell ref="H64:O64"/>
    <mergeCell ref="R64:Y64"/>
    <mergeCell ref="H65:O65"/>
    <mergeCell ref="R65:Y65"/>
    <mergeCell ref="H66:O66"/>
    <mergeCell ref="R66:Y66"/>
    <mergeCell ref="H67:O67"/>
    <mergeCell ref="R67:Y67"/>
    <mergeCell ref="H68:O68"/>
    <mergeCell ref="R68:Y68"/>
    <mergeCell ref="J69:K69"/>
    <mergeCell ref="L69:N69"/>
    <mergeCell ref="T69:U69"/>
    <mergeCell ref="V69:X69"/>
    <mergeCell ref="I70:O70"/>
    <mergeCell ref="S70:Y70"/>
    <mergeCell ref="H71:N71"/>
    <mergeCell ref="R71:X71"/>
    <mergeCell ref="I72:O72"/>
    <mergeCell ref="S72:Y72"/>
    <mergeCell ref="I73:O73"/>
    <mergeCell ref="S73:Y73"/>
    <mergeCell ref="H74:I74"/>
    <mergeCell ref="J74:K74"/>
    <mergeCell ref="L74:M74"/>
    <mergeCell ref="N74:O74"/>
    <mergeCell ref="R74:S74"/>
    <mergeCell ref="T74:U74"/>
    <mergeCell ref="V74:W74"/>
    <mergeCell ref="X74:Y74"/>
    <mergeCell ref="H75:O75"/>
    <mergeCell ref="R75:Y75"/>
    <mergeCell ref="H76:O76"/>
    <mergeCell ref="R76:Y76"/>
    <mergeCell ref="H79:L79"/>
    <mergeCell ref="R79:V79"/>
    <mergeCell ref="H80:M80"/>
    <mergeCell ref="R80:W80"/>
    <mergeCell ref="H81:I81"/>
    <mergeCell ref="J81:K81"/>
    <mergeCell ref="L81:M81"/>
    <mergeCell ref="N81:O81"/>
    <mergeCell ref="R81:S81"/>
    <mergeCell ref="T81:U81"/>
    <mergeCell ref="V81:W81"/>
    <mergeCell ref="X81:Y81"/>
    <mergeCell ref="H82:I82"/>
    <mergeCell ref="J82:K82"/>
    <mergeCell ref="L82:M82"/>
    <mergeCell ref="N82:O82"/>
    <mergeCell ref="R82:S82"/>
    <mergeCell ref="T82:U82"/>
    <mergeCell ref="V82:W82"/>
    <mergeCell ref="X82:Y82"/>
    <mergeCell ref="H83:I83"/>
    <mergeCell ref="J83:K83"/>
    <mergeCell ref="L83:M83"/>
    <mergeCell ref="N83:O83"/>
    <mergeCell ref="R83:S83"/>
    <mergeCell ref="T83:U83"/>
    <mergeCell ref="V83:W83"/>
    <mergeCell ref="X83:Y83"/>
    <mergeCell ref="H84:I84"/>
    <mergeCell ref="J84:K84"/>
    <mergeCell ref="L84:M84"/>
    <mergeCell ref="N84:O84"/>
    <mergeCell ref="R84:S84"/>
    <mergeCell ref="T84:U84"/>
    <mergeCell ref="V84:W84"/>
    <mergeCell ref="X84:Y84"/>
    <mergeCell ref="H85:M85"/>
    <mergeCell ref="R85:W85"/>
    <mergeCell ref="H86:I86"/>
    <mergeCell ref="K86:O86"/>
    <mergeCell ref="R86:S86"/>
    <mergeCell ref="U86:Y86"/>
    <mergeCell ref="H87:N87"/>
    <mergeCell ref="R87:X87"/>
    <mergeCell ref="I88:K88"/>
    <mergeCell ref="S88:U88"/>
    <mergeCell ref="H89:J89"/>
    <mergeCell ref="L89:M89"/>
    <mergeCell ref="N89:O89"/>
    <mergeCell ref="R89:T89"/>
    <mergeCell ref="V89:W89"/>
    <mergeCell ref="X89:Y89"/>
    <mergeCell ref="I90:O90"/>
    <mergeCell ref="S90:Y90"/>
    <mergeCell ref="J91:K91"/>
    <mergeCell ref="T91:U91"/>
    <mergeCell ref="J92:K92"/>
    <mergeCell ref="T92:U92"/>
    <mergeCell ref="J93:K93"/>
    <mergeCell ref="L93:N93"/>
    <mergeCell ref="T93:U93"/>
    <mergeCell ref="V93:X93"/>
    <mergeCell ref="H94:N94"/>
    <mergeCell ref="R94:X94"/>
    <mergeCell ref="H95:O95"/>
    <mergeCell ref="R95:Y95"/>
    <mergeCell ref="H96:O96"/>
    <mergeCell ref="R96:Y96"/>
    <mergeCell ref="H97:O97"/>
    <mergeCell ref="R97:Y97"/>
    <mergeCell ref="H98:O98"/>
    <mergeCell ref="R98:Y98"/>
    <mergeCell ref="H99:O99"/>
    <mergeCell ref="R99:Y99"/>
    <mergeCell ref="H100:O100"/>
    <mergeCell ref="R100:Y100"/>
    <mergeCell ref="H101:O101"/>
    <mergeCell ref="R101:Y101"/>
    <mergeCell ref="H102:O102"/>
    <mergeCell ref="R102:Y102"/>
    <mergeCell ref="H103:O103"/>
    <mergeCell ref="R103:Y103"/>
    <mergeCell ref="H104:O104"/>
    <mergeCell ref="R104:Y104"/>
    <mergeCell ref="H105:K105"/>
    <mergeCell ref="L105:O105"/>
    <mergeCell ref="R105:U105"/>
    <mergeCell ref="V105:Y105"/>
    <mergeCell ref="H106:O106"/>
    <mergeCell ref="R106:Y106"/>
    <mergeCell ref="H107:O107"/>
    <mergeCell ref="R107:Y107"/>
    <mergeCell ref="B4:B11"/>
    <mergeCell ref="B12:B20"/>
    <mergeCell ref="B21:B31"/>
    <mergeCell ref="B32:B58"/>
    <mergeCell ref="B60:B68"/>
    <mergeCell ref="B69:B88"/>
    <mergeCell ref="B89:B104"/>
    <mergeCell ref="B105:B107"/>
  </mergeCells>
  <pageMargins left="0.7" right="0.7" top="0.75" bottom="0.75" header="0.3" footer="0.3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B1:P110"/>
  <sheetViews>
    <sheetView showGridLines="0" showRowColHeaders="0" tabSelected="1" zoomScale="55" zoomScaleNormal="55" workbookViewId="0">
      <selection activeCell="L105" sqref="L105:O105"/>
    </sheetView>
  </sheetViews>
  <sheetFormatPr defaultColWidth="9" defaultRowHeight="14.4"/>
  <cols>
    <col min="1" max="1" width="2.57407407407407" customWidth="1"/>
    <col min="2" max="2" width="10.5740740740741" customWidth="1"/>
    <col min="3" max="3" width="20.5740740740741" customWidth="1"/>
    <col min="4" max="7" width="8.57407407407407" customWidth="1"/>
    <col min="8" max="15" width="18.5740740740741" customWidth="1"/>
    <col min="16" max="16" width="30.5740740740741" customWidth="1"/>
  </cols>
  <sheetData>
    <row r="1" spans="2:15">
      <c r="B1" s="23" t="s">
        <v>762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</row>
    <row r="3" spans="2:16">
      <c r="B3" s="56" t="s">
        <v>338</v>
      </c>
      <c r="C3" s="56" t="s">
        <v>339</v>
      </c>
      <c r="D3" s="56" t="s">
        <v>340</v>
      </c>
      <c r="E3" s="56" t="s">
        <v>341</v>
      </c>
      <c r="F3" s="56" t="s">
        <v>342</v>
      </c>
      <c r="G3" s="56" t="s">
        <v>343</v>
      </c>
      <c r="H3" s="56" t="s">
        <v>98</v>
      </c>
      <c r="I3" s="56" t="s">
        <v>99</v>
      </c>
      <c r="J3" s="56" t="s">
        <v>100</v>
      </c>
      <c r="K3" s="56" t="s">
        <v>101</v>
      </c>
      <c r="L3" s="56" t="s">
        <v>102</v>
      </c>
      <c r="M3" s="56" t="s">
        <v>103</v>
      </c>
      <c r="N3" s="56" t="s">
        <v>104</v>
      </c>
      <c r="O3" s="56" t="s">
        <v>105</v>
      </c>
      <c r="P3" s="56" t="s">
        <v>344</v>
      </c>
    </row>
    <row r="4" spans="2:16">
      <c r="B4" s="57" t="s">
        <v>345</v>
      </c>
      <c r="C4" s="58" t="s">
        <v>346</v>
      </c>
      <c r="D4" s="59" t="s">
        <v>347</v>
      </c>
      <c r="E4" s="59" t="s">
        <v>348</v>
      </c>
      <c r="F4" s="59" t="s">
        <v>106</v>
      </c>
      <c r="G4" s="59" t="s">
        <v>349</v>
      </c>
      <c r="H4" s="60" t="s">
        <v>350</v>
      </c>
      <c r="I4" s="60" t="s">
        <v>351</v>
      </c>
      <c r="J4" s="60" t="s">
        <v>173</v>
      </c>
      <c r="K4" s="60" t="s">
        <v>174</v>
      </c>
      <c r="L4" s="60" t="s">
        <v>175</v>
      </c>
      <c r="M4" s="60" t="s">
        <v>163</v>
      </c>
      <c r="N4" s="60" t="s">
        <v>164</v>
      </c>
      <c r="O4" s="60" t="s">
        <v>165</v>
      </c>
      <c r="P4" s="58" t="s">
        <v>352</v>
      </c>
    </row>
    <row r="5" spans="2:16">
      <c r="B5" s="61"/>
      <c r="C5" s="58" t="s">
        <v>353</v>
      </c>
      <c r="D5" s="59" t="s">
        <v>354</v>
      </c>
      <c r="E5" s="59" t="s">
        <v>348</v>
      </c>
      <c r="F5" s="59" t="s">
        <v>106</v>
      </c>
      <c r="G5" s="59" t="s">
        <v>349</v>
      </c>
      <c r="H5" s="62"/>
      <c r="I5" s="67"/>
      <c r="J5" s="60" t="s">
        <v>179</v>
      </c>
      <c r="K5" s="60" t="s">
        <v>168</v>
      </c>
      <c r="L5" s="60" t="s">
        <v>169</v>
      </c>
      <c r="M5" s="60" t="s">
        <v>170</v>
      </c>
      <c r="N5" s="60" t="s">
        <v>171</v>
      </c>
      <c r="O5" s="60" t="s">
        <v>172</v>
      </c>
      <c r="P5" s="58" t="s">
        <v>352</v>
      </c>
    </row>
    <row r="6" spans="2:16">
      <c r="B6" s="61"/>
      <c r="C6" s="58" t="s">
        <v>355</v>
      </c>
      <c r="D6" s="59" t="s">
        <v>356</v>
      </c>
      <c r="E6" s="59" t="s">
        <v>357</v>
      </c>
      <c r="F6" s="59" t="s">
        <v>106</v>
      </c>
      <c r="G6" s="59" t="s">
        <v>349</v>
      </c>
      <c r="H6" s="60" t="s">
        <v>350</v>
      </c>
      <c r="I6" s="60" t="s">
        <v>351</v>
      </c>
      <c r="J6" s="60" t="s">
        <v>173</v>
      </c>
      <c r="K6" s="60" t="s">
        <v>174</v>
      </c>
      <c r="L6" s="60" t="s">
        <v>175</v>
      </c>
      <c r="M6" s="60" t="s">
        <v>163</v>
      </c>
      <c r="N6" s="60" t="s">
        <v>164</v>
      </c>
      <c r="O6" s="60" t="s">
        <v>165</v>
      </c>
      <c r="P6" s="58" t="s">
        <v>358</v>
      </c>
    </row>
    <row r="7" spans="2:16">
      <c r="B7" s="61"/>
      <c r="C7" s="58" t="s">
        <v>359</v>
      </c>
      <c r="D7" s="59" t="s">
        <v>360</v>
      </c>
      <c r="E7" s="59" t="s">
        <v>357</v>
      </c>
      <c r="F7" s="59" t="s">
        <v>106</v>
      </c>
      <c r="G7" s="59" t="s">
        <v>349</v>
      </c>
      <c r="H7" s="62"/>
      <c r="I7" s="67"/>
      <c r="J7" s="60" t="s">
        <v>179</v>
      </c>
      <c r="K7" s="60" t="s">
        <v>168</v>
      </c>
      <c r="L7" s="60" t="s">
        <v>169</v>
      </c>
      <c r="M7" s="60" t="s">
        <v>170</v>
      </c>
      <c r="N7" s="60" t="s">
        <v>171</v>
      </c>
      <c r="O7" s="60" t="s">
        <v>172</v>
      </c>
      <c r="P7" s="58" t="s">
        <v>358</v>
      </c>
    </row>
    <row r="8" spans="2:16">
      <c r="B8" s="61"/>
      <c r="C8" s="58" t="s">
        <v>361</v>
      </c>
      <c r="D8" s="59" t="s">
        <v>362</v>
      </c>
      <c r="E8" s="59" t="s">
        <v>357</v>
      </c>
      <c r="F8" s="59" t="s">
        <v>106</v>
      </c>
      <c r="G8" s="59" t="s">
        <v>349</v>
      </c>
      <c r="H8" s="63" t="s">
        <v>363</v>
      </c>
      <c r="I8" s="68"/>
      <c r="J8" s="58"/>
      <c r="K8" s="63" t="s">
        <v>364</v>
      </c>
      <c r="L8" s="69"/>
      <c r="M8" s="69"/>
      <c r="N8" s="69"/>
      <c r="O8" s="68"/>
      <c r="P8" s="58" t="s">
        <v>365</v>
      </c>
    </row>
    <row r="9" spans="2:16">
      <c r="B9" s="61"/>
      <c r="C9" s="58" t="s">
        <v>366</v>
      </c>
      <c r="D9" s="59" t="s">
        <v>367</v>
      </c>
      <c r="E9" s="59" t="s">
        <v>357</v>
      </c>
      <c r="F9" s="59" t="s">
        <v>106</v>
      </c>
      <c r="G9" s="59" t="s">
        <v>349</v>
      </c>
      <c r="H9" s="63" t="s">
        <v>366</v>
      </c>
      <c r="I9" s="69"/>
      <c r="J9" s="69"/>
      <c r="K9" s="69"/>
      <c r="L9" s="69"/>
      <c r="M9" s="69"/>
      <c r="N9" s="69"/>
      <c r="O9" s="68"/>
      <c r="P9" s="58" t="s">
        <v>368</v>
      </c>
    </row>
    <row r="10" spans="2:16">
      <c r="B10" s="61"/>
      <c r="C10" s="58" t="s">
        <v>369</v>
      </c>
      <c r="D10" s="59" t="s">
        <v>370</v>
      </c>
      <c r="E10" s="59" t="s">
        <v>357</v>
      </c>
      <c r="F10" s="59" t="s">
        <v>106</v>
      </c>
      <c r="G10" s="59" t="s">
        <v>349</v>
      </c>
      <c r="H10" s="62"/>
      <c r="I10" s="70"/>
      <c r="J10" s="70"/>
      <c r="K10" s="67"/>
      <c r="L10" s="63" t="s">
        <v>369</v>
      </c>
      <c r="M10" s="69"/>
      <c r="N10" s="69"/>
      <c r="O10" s="68"/>
      <c r="P10" s="58" t="s">
        <v>371</v>
      </c>
    </row>
    <row r="11" spans="2:16">
      <c r="B11" s="64"/>
      <c r="C11" s="58" t="s">
        <v>372</v>
      </c>
      <c r="D11" s="59" t="s">
        <v>373</v>
      </c>
      <c r="E11" s="59" t="s">
        <v>357</v>
      </c>
      <c r="F11" s="59" t="s">
        <v>106</v>
      </c>
      <c r="G11" s="59" t="s">
        <v>349</v>
      </c>
      <c r="H11" s="62"/>
      <c r="I11" s="70"/>
      <c r="J11" s="67"/>
      <c r="K11" s="60" t="s">
        <v>374</v>
      </c>
      <c r="L11" s="62"/>
      <c r="M11" s="67"/>
      <c r="N11" s="63" t="s">
        <v>375</v>
      </c>
      <c r="O11" s="68"/>
      <c r="P11" s="58" t="s">
        <v>376</v>
      </c>
    </row>
    <row r="12" spans="2:16">
      <c r="B12" s="57" t="s">
        <v>377</v>
      </c>
      <c r="C12" s="58" t="s">
        <v>378</v>
      </c>
      <c r="D12" s="59" t="s">
        <v>379</v>
      </c>
      <c r="E12" s="59" t="s">
        <v>380</v>
      </c>
      <c r="F12" s="59" t="s">
        <v>221</v>
      </c>
      <c r="G12" s="59" t="s">
        <v>221</v>
      </c>
      <c r="H12" s="62"/>
      <c r="I12" s="67"/>
      <c r="J12" s="65" t="s">
        <v>378</v>
      </c>
      <c r="K12" s="71"/>
      <c r="L12" s="71"/>
      <c r="M12" s="71"/>
      <c r="N12" s="71"/>
      <c r="O12" s="72"/>
      <c r="P12" s="58" t="s">
        <v>381</v>
      </c>
    </row>
    <row r="13" spans="2:16">
      <c r="B13" s="61"/>
      <c r="C13" s="58" t="s">
        <v>382</v>
      </c>
      <c r="D13" s="59" t="s">
        <v>383</v>
      </c>
      <c r="E13" s="59" t="s">
        <v>380</v>
      </c>
      <c r="F13" s="59" t="s">
        <v>106</v>
      </c>
      <c r="G13" s="59" t="s">
        <v>106</v>
      </c>
      <c r="H13" s="62"/>
      <c r="I13" s="67"/>
      <c r="J13" s="65" t="s">
        <v>382</v>
      </c>
      <c r="K13" s="71"/>
      <c r="L13" s="71"/>
      <c r="M13" s="71"/>
      <c r="N13" s="71"/>
      <c r="O13" s="72"/>
      <c r="P13" s="58" t="s">
        <v>384</v>
      </c>
    </row>
    <row r="14" spans="2:16">
      <c r="B14" s="61"/>
      <c r="C14" s="58" t="s">
        <v>385</v>
      </c>
      <c r="D14" s="59" t="s">
        <v>386</v>
      </c>
      <c r="E14" s="59" t="s">
        <v>380</v>
      </c>
      <c r="F14" s="59" t="s">
        <v>106</v>
      </c>
      <c r="G14" s="59" t="s">
        <v>106</v>
      </c>
      <c r="H14" s="62"/>
      <c r="I14" s="67"/>
      <c r="J14" s="65" t="s">
        <v>385</v>
      </c>
      <c r="K14" s="71"/>
      <c r="L14" s="71"/>
      <c r="M14" s="71"/>
      <c r="N14" s="71"/>
      <c r="O14" s="72"/>
      <c r="P14" s="58" t="s">
        <v>387</v>
      </c>
    </row>
    <row r="15" spans="2:16">
      <c r="B15" s="61"/>
      <c r="C15" s="58" t="s">
        <v>388</v>
      </c>
      <c r="D15" s="59" t="s">
        <v>389</v>
      </c>
      <c r="E15" s="59" t="s">
        <v>380</v>
      </c>
      <c r="F15" s="59" t="s">
        <v>106</v>
      </c>
      <c r="G15" s="59" t="s">
        <v>106</v>
      </c>
      <c r="H15" s="65" t="s">
        <v>388</v>
      </c>
      <c r="I15" s="71"/>
      <c r="J15" s="71"/>
      <c r="K15" s="71"/>
      <c r="L15" s="71"/>
      <c r="M15" s="71"/>
      <c r="N15" s="71"/>
      <c r="O15" s="72"/>
      <c r="P15" s="58" t="s">
        <v>390</v>
      </c>
    </row>
    <row r="16" spans="2:16">
      <c r="B16" s="61"/>
      <c r="C16" s="58" t="s">
        <v>391</v>
      </c>
      <c r="D16" s="59" t="s">
        <v>392</v>
      </c>
      <c r="E16" s="59" t="s">
        <v>380</v>
      </c>
      <c r="F16" s="59" t="s">
        <v>106</v>
      </c>
      <c r="G16" s="59" t="s">
        <v>106</v>
      </c>
      <c r="H16" s="62"/>
      <c r="I16" s="70"/>
      <c r="J16" s="70"/>
      <c r="K16" s="67"/>
      <c r="L16" s="65" t="s">
        <v>391</v>
      </c>
      <c r="M16" s="71"/>
      <c r="N16" s="71"/>
      <c r="O16" s="72"/>
      <c r="P16" s="58" t="s">
        <v>393</v>
      </c>
    </row>
    <row r="17" spans="2:16">
      <c r="B17" s="61"/>
      <c r="C17" s="58" t="s">
        <v>394</v>
      </c>
      <c r="D17" s="59" t="s">
        <v>395</v>
      </c>
      <c r="E17" s="59" t="s">
        <v>380</v>
      </c>
      <c r="F17" s="59" t="s">
        <v>106</v>
      </c>
      <c r="G17" s="59" t="s">
        <v>106</v>
      </c>
      <c r="H17" s="62"/>
      <c r="I17" s="67"/>
      <c r="J17" s="65" t="s">
        <v>394</v>
      </c>
      <c r="K17" s="71"/>
      <c r="L17" s="71"/>
      <c r="M17" s="71"/>
      <c r="N17" s="71"/>
      <c r="O17" s="72"/>
      <c r="P17" s="58" t="s">
        <v>396</v>
      </c>
    </row>
    <row r="18" spans="2:16">
      <c r="B18" s="61"/>
      <c r="C18" s="58" t="s">
        <v>397</v>
      </c>
      <c r="D18" s="59" t="s">
        <v>398</v>
      </c>
      <c r="E18" s="59" t="s">
        <v>380</v>
      </c>
      <c r="F18" s="59" t="s">
        <v>106</v>
      </c>
      <c r="G18" s="59" t="s">
        <v>106</v>
      </c>
      <c r="H18" s="62"/>
      <c r="I18" s="67"/>
      <c r="J18" s="65" t="s">
        <v>397</v>
      </c>
      <c r="K18" s="71"/>
      <c r="L18" s="71"/>
      <c r="M18" s="71"/>
      <c r="N18" s="71"/>
      <c r="O18" s="72"/>
      <c r="P18" s="58" t="s">
        <v>399</v>
      </c>
    </row>
    <row r="19" spans="2:16">
      <c r="B19" s="61"/>
      <c r="C19" s="58" t="s">
        <v>400</v>
      </c>
      <c r="D19" s="59" t="s">
        <v>401</v>
      </c>
      <c r="E19" s="59" t="s">
        <v>380</v>
      </c>
      <c r="F19" s="59" t="s">
        <v>106</v>
      </c>
      <c r="G19" s="59" t="s">
        <v>106</v>
      </c>
      <c r="H19" s="62"/>
      <c r="I19" s="70"/>
      <c r="J19" s="70"/>
      <c r="K19" s="67"/>
      <c r="L19" s="65" t="s">
        <v>400</v>
      </c>
      <c r="M19" s="71"/>
      <c r="N19" s="71"/>
      <c r="O19" s="72"/>
      <c r="P19" s="58" t="s">
        <v>402</v>
      </c>
    </row>
    <row r="20" spans="2:16">
      <c r="B20" s="64"/>
      <c r="C20" s="58" t="s">
        <v>403</v>
      </c>
      <c r="D20" s="59" t="s">
        <v>404</v>
      </c>
      <c r="E20" s="59" t="s">
        <v>380</v>
      </c>
      <c r="F20" s="59" t="s">
        <v>106</v>
      </c>
      <c r="G20" s="59" t="s">
        <v>106</v>
      </c>
      <c r="H20" s="65" t="s">
        <v>403</v>
      </c>
      <c r="I20" s="71"/>
      <c r="J20" s="71"/>
      <c r="K20" s="71"/>
      <c r="L20" s="71"/>
      <c r="M20" s="71"/>
      <c r="N20" s="71"/>
      <c r="O20" s="72"/>
      <c r="P20" s="58" t="s">
        <v>405</v>
      </c>
    </row>
    <row r="21" ht="15" customHeight="1" spans="2:16">
      <c r="B21" s="57" t="s">
        <v>406</v>
      </c>
      <c r="C21" s="58" t="s">
        <v>407</v>
      </c>
      <c r="D21" s="59" t="s">
        <v>408</v>
      </c>
      <c r="E21" s="59" t="s">
        <v>380</v>
      </c>
      <c r="F21" s="59" t="s">
        <v>106</v>
      </c>
      <c r="G21" s="59" t="s">
        <v>106</v>
      </c>
      <c r="H21" s="65" t="s">
        <v>407</v>
      </c>
      <c r="I21" s="71"/>
      <c r="J21" s="71"/>
      <c r="K21" s="71"/>
      <c r="L21" s="71"/>
      <c r="M21" s="71"/>
      <c r="N21" s="71"/>
      <c r="O21" s="72"/>
      <c r="P21" s="58" t="s">
        <v>409</v>
      </c>
    </row>
    <row r="22" spans="2:16">
      <c r="B22" s="61"/>
      <c r="C22" s="58" t="s">
        <v>410</v>
      </c>
      <c r="D22" s="59" t="s">
        <v>411</v>
      </c>
      <c r="E22" s="59" t="s">
        <v>380</v>
      </c>
      <c r="F22" s="59" t="s">
        <v>106</v>
      </c>
      <c r="G22" s="59" t="s">
        <v>106</v>
      </c>
      <c r="H22" s="65" t="s">
        <v>410</v>
      </c>
      <c r="I22" s="71"/>
      <c r="J22" s="71"/>
      <c r="K22" s="71"/>
      <c r="L22" s="71"/>
      <c r="M22" s="71"/>
      <c r="N22" s="71"/>
      <c r="O22" s="72"/>
      <c r="P22" s="58" t="s">
        <v>409</v>
      </c>
    </row>
    <row r="23" spans="2:16">
      <c r="B23" s="61"/>
      <c r="C23" s="58" t="s">
        <v>412</v>
      </c>
      <c r="D23" s="59" t="s">
        <v>413</v>
      </c>
      <c r="E23" s="59" t="s">
        <v>380</v>
      </c>
      <c r="F23" s="59" t="s">
        <v>106</v>
      </c>
      <c r="G23" s="59" t="s">
        <v>106</v>
      </c>
      <c r="H23" s="65" t="s">
        <v>412</v>
      </c>
      <c r="I23" s="71"/>
      <c r="J23" s="71"/>
      <c r="K23" s="71"/>
      <c r="L23" s="71"/>
      <c r="M23" s="71"/>
      <c r="N23" s="71"/>
      <c r="O23" s="72"/>
      <c r="P23" s="58" t="s">
        <v>409</v>
      </c>
    </row>
    <row r="24" spans="2:16">
      <c r="B24" s="61"/>
      <c r="C24" s="58" t="s">
        <v>414</v>
      </c>
      <c r="D24" s="59" t="s">
        <v>415</v>
      </c>
      <c r="E24" s="59" t="s">
        <v>380</v>
      </c>
      <c r="F24" s="59" t="s">
        <v>106</v>
      </c>
      <c r="G24" s="59" t="s">
        <v>106</v>
      </c>
      <c r="H24" s="65" t="s">
        <v>414</v>
      </c>
      <c r="I24" s="71"/>
      <c r="J24" s="71"/>
      <c r="K24" s="71"/>
      <c r="L24" s="71"/>
      <c r="M24" s="71"/>
      <c r="N24" s="71"/>
      <c r="O24" s="72"/>
      <c r="P24" s="58" t="s">
        <v>409</v>
      </c>
    </row>
    <row r="25" spans="2:16">
      <c r="B25" s="61"/>
      <c r="C25" s="58" t="s">
        <v>416</v>
      </c>
      <c r="D25" s="59" t="s">
        <v>417</v>
      </c>
      <c r="E25" s="59" t="s">
        <v>380</v>
      </c>
      <c r="F25" s="59" t="s">
        <v>106</v>
      </c>
      <c r="G25" s="59" t="s">
        <v>106</v>
      </c>
      <c r="H25" s="65" t="s">
        <v>416</v>
      </c>
      <c r="I25" s="71"/>
      <c r="J25" s="71"/>
      <c r="K25" s="71"/>
      <c r="L25" s="71"/>
      <c r="M25" s="71"/>
      <c r="N25" s="71"/>
      <c r="O25" s="72"/>
      <c r="P25" s="58" t="s">
        <v>409</v>
      </c>
    </row>
    <row r="26" spans="2:16">
      <c r="B26" s="61"/>
      <c r="C26" s="58" t="s">
        <v>418</v>
      </c>
      <c r="D26" s="59" t="s">
        <v>419</v>
      </c>
      <c r="E26" s="59" t="s">
        <v>380</v>
      </c>
      <c r="F26" s="59" t="s">
        <v>106</v>
      </c>
      <c r="G26" s="59" t="s">
        <v>106</v>
      </c>
      <c r="H26" s="65" t="s">
        <v>418</v>
      </c>
      <c r="I26" s="71"/>
      <c r="J26" s="71"/>
      <c r="K26" s="71"/>
      <c r="L26" s="71"/>
      <c r="M26" s="71"/>
      <c r="N26" s="71"/>
      <c r="O26" s="72"/>
      <c r="P26" s="58" t="s">
        <v>409</v>
      </c>
    </row>
    <row r="27" spans="2:16">
      <c r="B27" s="61"/>
      <c r="C27" s="58" t="s">
        <v>420</v>
      </c>
      <c r="D27" s="59" t="s">
        <v>421</v>
      </c>
      <c r="E27" s="59" t="s">
        <v>380</v>
      </c>
      <c r="F27" s="59" t="s">
        <v>106</v>
      </c>
      <c r="G27" s="59" t="s">
        <v>106</v>
      </c>
      <c r="H27" s="65" t="s">
        <v>420</v>
      </c>
      <c r="I27" s="71"/>
      <c r="J27" s="71"/>
      <c r="K27" s="71"/>
      <c r="L27" s="71"/>
      <c r="M27" s="71"/>
      <c r="N27" s="71"/>
      <c r="O27" s="72"/>
      <c r="P27" s="58" t="s">
        <v>409</v>
      </c>
    </row>
    <row r="28" spans="2:16">
      <c r="B28" s="61"/>
      <c r="C28" s="58" t="s">
        <v>43</v>
      </c>
      <c r="D28" s="59" t="s">
        <v>422</v>
      </c>
      <c r="E28" s="59" t="s">
        <v>380</v>
      </c>
      <c r="F28" s="59" t="s">
        <v>106</v>
      </c>
      <c r="G28" s="59" t="s">
        <v>106</v>
      </c>
      <c r="H28" s="62"/>
      <c r="I28" s="70"/>
      <c r="J28" s="70"/>
      <c r="K28" s="70"/>
      <c r="L28" s="67"/>
      <c r="M28" s="73" t="s">
        <v>51</v>
      </c>
      <c r="N28" s="73" t="s">
        <v>56</v>
      </c>
      <c r="O28" s="73" t="s">
        <v>153</v>
      </c>
      <c r="P28" s="58" t="s">
        <v>423</v>
      </c>
    </row>
    <row r="29" spans="2:16">
      <c r="B29" s="61"/>
      <c r="C29" s="58" t="s">
        <v>62</v>
      </c>
      <c r="D29" s="59" t="s">
        <v>424</v>
      </c>
      <c r="E29" s="59" t="s">
        <v>380</v>
      </c>
      <c r="F29" s="59" t="s">
        <v>106</v>
      </c>
      <c r="G29" s="59" t="s">
        <v>106</v>
      </c>
      <c r="H29" s="62"/>
      <c r="I29" s="67"/>
      <c r="J29" s="65" t="s">
        <v>425</v>
      </c>
      <c r="K29" s="72"/>
      <c r="L29" s="65" t="s">
        <v>426</v>
      </c>
      <c r="M29" s="72"/>
      <c r="N29" s="65" t="s">
        <v>427</v>
      </c>
      <c r="O29" s="72"/>
      <c r="P29" s="58" t="s">
        <v>428</v>
      </c>
    </row>
    <row r="30" spans="2:16">
      <c r="B30" s="61"/>
      <c r="C30" s="58" t="s">
        <v>429</v>
      </c>
      <c r="D30" s="59" t="s">
        <v>430</v>
      </c>
      <c r="E30" s="59" t="s">
        <v>380</v>
      </c>
      <c r="F30" s="59" t="s">
        <v>106</v>
      </c>
      <c r="G30" s="59" t="s">
        <v>106</v>
      </c>
      <c r="H30" s="62"/>
      <c r="I30" s="70"/>
      <c r="J30" s="67"/>
      <c r="K30" s="65" t="s">
        <v>431</v>
      </c>
      <c r="L30" s="71"/>
      <c r="M30" s="71"/>
      <c r="N30" s="71"/>
      <c r="O30" s="72"/>
      <c r="P30" s="58" t="s">
        <v>432</v>
      </c>
    </row>
    <row r="31" spans="2:16">
      <c r="B31" s="64"/>
      <c r="C31" s="58" t="s">
        <v>433</v>
      </c>
      <c r="D31" s="59" t="s">
        <v>434</v>
      </c>
      <c r="E31" s="59" t="s">
        <v>380</v>
      </c>
      <c r="F31" s="59" t="s">
        <v>106</v>
      </c>
      <c r="G31" s="59" t="s">
        <v>106</v>
      </c>
      <c r="H31" s="65" t="s">
        <v>433</v>
      </c>
      <c r="I31" s="71"/>
      <c r="J31" s="71"/>
      <c r="K31" s="71"/>
      <c r="L31" s="71"/>
      <c r="M31" s="71"/>
      <c r="N31" s="71"/>
      <c r="O31" s="72"/>
      <c r="P31" s="58" t="s">
        <v>435</v>
      </c>
    </row>
    <row r="32" ht="15" customHeight="1" spans="2:16">
      <c r="B32" s="57" t="s">
        <v>436</v>
      </c>
      <c r="C32" s="58" t="s">
        <v>83</v>
      </c>
      <c r="D32" s="59" t="s">
        <v>437</v>
      </c>
      <c r="E32" s="59" t="s">
        <v>380</v>
      </c>
      <c r="F32" s="59" t="s">
        <v>106</v>
      </c>
      <c r="G32" s="59" t="s">
        <v>106</v>
      </c>
      <c r="H32" s="62"/>
      <c r="I32" s="70"/>
      <c r="J32" s="70"/>
      <c r="K32" s="67"/>
      <c r="L32" s="65" t="s">
        <v>88</v>
      </c>
      <c r="M32" s="72"/>
      <c r="N32" s="73" t="s">
        <v>90</v>
      </c>
      <c r="O32" s="73" t="s">
        <v>215</v>
      </c>
      <c r="P32" s="58" t="s">
        <v>438</v>
      </c>
    </row>
    <row r="33" spans="2:16">
      <c r="B33" s="61"/>
      <c r="C33" s="58" t="s">
        <v>439</v>
      </c>
      <c r="D33" s="59" t="s">
        <v>440</v>
      </c>
      <c r="E33" s="59" t="s">
        <v>380</v>
      </c>
      <c r="F33" s="59" t="s">
        <v>330</v>
      </c>
      <c r="G33" s="59" t="s">
        <v>330</v>
      </c>
      <c r="H33" s="65" t="s">
        <v>441</v>
      </c>
      <c r="I33" s="71"/>
      <c r="J33" s="71"/>
      <c r="K33" s="71"/>
      <c r="L33" s="71"/>
      <c r="M33" s="71"/>
      <c r="N33" s="71"/>
      <c r="O33" s="72"/>
      <c r="P33" s="58" t="s">
        <v>438</v>
      </c>
    </row>
    <row r="34" spans="2:16">
      <c r="B34" s="61"/>
      <c r="C34" s="58" t="s">
        <v>442</v>
      </c>
      <c r="D34" s="59" t="s">
        <v>443</v>
      </c>
      <c r="E34" s="59" t="s">
        <v>380</v>
      </c>
      <c r="F34" s="59" t="s">
        <v>106</v>
      </c>
      <c r="G34" s="59" t="s">
        <v>106</v>
      </c>
      <c r="H34" s="62"/>
      <c r="I34" s="70"/>
      <c r="J34" s="70"/>
      <c r="K34" s="67"/>
      <c r="L34" s="65" t="s">
        <v>444</v>
      </c>
      <c r="M34" s="71"/>
      <c r="N34" s="71"/>
      <c r="O34" s="72"/>
      <c r="P34" s="58" t="s">
        <v>438</v>
      </c>
    </row>
    <row r="35" spans="2:16">
      <c r="B35" s="61"/>
      <c r="C35" s="58" t="s">
        <v>445</v>
      </c>
      <c r="D35" s="59" t="s">
        <v>446</v>
      </c>
      <c r="E35" s="59" t="s">
        <v>380</v>
      </c>
      <c r="F35" s="59" t="s">
        <v>336</v>
      </c>
      <c r="G35" s="59" t="s">
        <v>336</v>
      </c>
      <c r="H35" s="58"/>
      <c r="I35" s="65" t="s">
        <v>447</v>
      </c>
      <c r="J35" s="71"/>
      <c r="K35" s="71"/>
      <c r="L35" s="71"/>
      <c r="M35" s="71"/>
      <c r="N35" s="71"/>
      <c r="O35" s="72"/>
      <c r="P35" s="58" t="s">
        <v>438</v>
      </c>
    </row>
    <row r="36" spans="2:16">
      <c r="B36" s="61"/>
      <c r="C36" s="58" t="s">
        <v>448</v>
      </c>
      <c r="D36" s="59" t="s">
        <v>449</v>
      </c>
      <c r="E36" s="59" t="s">
        <v>380</v>
      </c>
      <c r="F36" s="59" t="s">
        <v>151</v>
      </c>
      <c r="G36" s="59" t="s">
        <v>151</v>
      </c>
      <c r="H36" s="65" t="s">
        <v>450</v>
      </c>
      <c r="I36" s="71"/>
      <c r="J36" s="71"/>
      <c r="K36" s="71"/>
      <c r="L36" s="71"/>
      <c r="M36" s="71"/>
      <c r="N36" s="71"/>
      <c r="O36" s="72"/>
      <c r="P36" s="58" t="s">
        <v>438</v>
      </c>
    </row>
    <row r="37" spans="2:16">
      <c r="B37" s="61"/>
      <c r="C37" s="58" t="s">
        <v>451</v>
      </c>
      <c r="D37" s="59" t="s">
        <v>452</v>
      </c>
      <c r="E37" s="59" t="s">
        <v>380</v>
      </c>
      <c r="F37" s="59" t="s">
        <v>106</v>
      </c>
      <c r="G37" s="59" t="s">
        <v>289</v>
      </c>
      <c r="H37" s="65" t="s">
        <v>453</v>
      </c>
      <c r="I37" s="71"/>
      <c r="J37" s="71"/>
      <c r="K37" s="71"/>
      <c r="L37" s="71"/>
      <c r="M37" s="71"/>
      <c r="N37" s="71"/>
      <c r="O37" s="72"/>
      <c r="P37" s="58" t="s">
        <v>438</v>
      </c>
    </row>
    <row r="38" spans="2:16">
      <c r="B38" s="61"/>
      <c r="C38" s="58" t="s">
        <v>454</v>
      </c>
      <c r="D38" s="59" t="s">
        <v>455</v>
      </c>
      <c r="E38" s="59" t="s">
        <v>380</v>
      </c>
      <c r="F38" s="59" t="s">
        <v>106</v>
      </c>
      <c r="G38" s="59" t="s">
        <v>106</v>
      </c>
      <c r="H38" s="62"/>
      <c r="I38" s="70"/>
      <c r="J38" s="70"/>
      <c r="K38" s="67"/>
      <c r="L38" s="65" t="s">
        <v>456</v>
      </c>
      <c r="M38" s="71"/>
      <c r="N38" s="71"/>
      <c r="O38" s="72"/>
      <c r="P38" s="58" t="s">
        <v>438</v>
      </c>
    </row>
    <row r="39" spans="2:16">
      <c r="B39" s="61"/>
      <c r="C39" s="58" t="s">
        <v>457</v>
      </c>
      <c r="D39" s="59" t="s">
        <v>458</v>
      </c>
      <c r="E39" s="59" t="s">
        <v>380</v>
      </c>
      <c r="F39" s="59" t="s">
        <v>459</v>
      </c>
      <c r="G39" s="59" t="s">
        <v>460</v>
      </c>
      <c r="H39" s="65" t="s">
        <v>461</v>
      </c>
      <c r="I39" s="71"/>
      <c r="J39" s="71"/>
      <c r="K39" s="71"/>
      <c r="L39" s="71"/>
      <c r="M39" s="71"/>
      <c r="N39" s="71"/>
      <c r="O39" s="72"/>
      <c r="P39" s="58" t="s">
        <v>438</v>
      </c>
    </row>
    <row r="40" spans="2:16">
      <c r="B40" s="61"/>
      <c r="C40" s="58" t="s">
        <v>462</v>
      </c>
      <c r="D40" s="59" t="s">
        <v>463</v>
      </c>
      <c r="E40" s="59" t="s">
        <v>380</v>
      </c>
      <c r="F40" s="59" t="s">
        <v>149</v>
      </c>
      <c r="G40" s="59" t="s">
        <v>121</v>
      </c>
      <c r="H40" s="62"/>
      <c r="I40" s="70"/>
      <c r="J40" s="70"/>
      <c r="K40" s="67"/>
      <c r="L40" s="65" t="s">
        <v>464</v>
      </c>
      <c r="M40" s="71"/>
      <c r="N40" s="71"/>
      <c r="O40" s="72"/>
      <c r="P40" s="58" t="s">
        <v>438</v>
      </c>
    </row>
    <row r="41" spans="2:16">
      <c r="B41" s="61"/>
      <c r="C41" s="58" t="s">
        <v>465</v>
      </c>
      <c r="D41" s="59" t="s">
        <v>466</v>
      </c>
      <c r="E41" s="59" t="s">
        <v>380</v>
      </c>
      <c r="F41" s="59" t="s">
        <v>467</v>
      </c>
      <c r="G41" s="59" t="s">
        <v>467</v>
      </c>
      <c r="H41" s="65" t="s">
        <v>468</v>
      </c>
      <c r="I41" s="71"/>
      <c r="J41" s="71"/>
      <c r="K41" s="72"/>
      <c r="L41" s="65" t="s">
        <v>469</v>
      </c>
      <c r="M41" s="71"/>
      <c r="N41" s="71"/>
      <c r="O41" s="72"/>
      <c r="P41" s="58" t="s">
        <v>470</v>
      </c>
    </row>
    <row r="42" spans="2:16">
      <c r="B42" s="61"/>
      <c r="C42" s="58" t="s">
        <v>471</v>
      </c>
      <c r="D42" s="59" t="s">
        <v>472</v>
      </c>
      <c r="E42" s="59" t="s">
        <v>380</v>
      </c>
      <c r="F42" s="59" t="s">
        <v>106</v>
      </c>
      <c r="G42" s="59" t="s">
        <v>106</v>
      </c>
      <c r="H42" s="62"/>
      <c r="I42" s="67"/>
      <c r="J42" s="73" t="s">
        <v>173</v>
      </c>
      <c r="K42" s="73" t="s">
        <v>174</v>
      </c>
      <c r="L42" s="73" t="s">
        <v>175</v>
      </c>
      <c r="M42" s="73" t="s">
        <v>163</v>
      </c>
      <c r="N42" s="73" t="s">
        <v>164</v>
      </c>
      <c r="O42" s="73" t="s">
        <v>165</v>
      </c>
      <c r="P42" s="58" t="s">
        <v>473</v>
      </c>
    </row>
    <row r="43" spans="2:16">
      <c r="B43" s="61"/>
      <c r="C43" s="58" t="s">
        <v>474</v>
      </c>
      <c r="D43" s="59" t="s">
        <v>475</v>
      </c>
      <c r="E43" s="59" t="s">
        <v>380</v>
      </c>
      <c r="F43" s="59" t="s">
        <v>106</v>
      </c>
      <c r="G43" s="59" t="s">
        <v>106</v>
      </c>
      <c r="H43" s="62"/>
      <c r="I43" s="70"/>
      <c r="J43" s="67"/>
      <c r="K43" s="73" t="s">
        <v>168</v>
      </c>
      <c r="L43" s="73" t="s">
        <v>169</v>
      </c>
      <c r="M43" s="73" t="s">
        <v>170</v>
      </c>
      <c r="N43" s="73" t="s">
        <v>171</v>
      </c>
      <c r="O43" s="73" t="s">
        <v>172</v>
      </c>
      <c r="P43" s="58" t="s">
        <v>473</v>
      </c>
    </row>
    <row r="44" spans="2:16">
      <c r="B44" s="61"/>
      <c r="C44" s="58" t="s">
        <v>476</v>
      </c>
      <c r="D44" s="59" t="s">
        <v>477</v>
      </c>
      <c r="E44" s="59" t="s">
        <v>380</v>
      </c>
      <c r="F44" s="59" t="s">
        <v>106</v>
      </c>
      <c r="G44" s="59" t="s">
        <v>106</v>
      </c>
      <c r="H44" s="62"/>
      <c r="I44" s="70"/>
      <c r="J44" s="67"/>
      <c r="K44" s="73" t="s">
        <v>174</v>
      </c>
      <c r="L44" s="73" t="s">
        <v>175</v>
      </c>
      <c r="M44" s="73" t="s">
        <v>163</v>
      </c>
      <c r="N44" s="62"/>
      <c r="O44" s="67"/>
      <c r="P44" s="58" t="s">
        <v>478</v>
      </c>
    </row>
    <row r="45" spans="2:16">
      <c r="B45" s="61"/>
      <c r="C45" s="58" t="s">
        <v>479</v>
      </c>
      <c r="D45" s="59" t="s">
        <v>480</v>
      </c>
      <c r="E45" s="59" t="s">
        <v>380</v>
      </c>
      <c r="F45" s="59" t="s">
        <v>106</v>
      </c>
      <c r="G45" s="59" t="s">
        <v>106</v>
      </c>
      <c r="H45" s="62"/>
      <c r="I45" s="67"/>
      <c r="J45" s="73" t="s">
        <v>179</v>
      </c>
      <c r="K45" s="62"/>
      <c r="L45" s="70"/>
      <c r="M45" s="70"/>
      <c r="N45" s="70"/>
      <c r="O45" s="67"/>
      <c r="P45" s="58" t="s">
        <v>478</v>
      </c>
    </row>
    <row r="46" spans="2:16">
      <c r="B46" s="61"/>
      <c r="C46" s="58" t="s">
        <v>481</v>
      </c>
      <c r="D46" s="59" t="s">
        <v>482</v>
      </c>
      <c r="E46" s="59" t="s">
        <v>380</v>
      </c>
      <c r="F46" s="59" t="s">
        <v>483</v>
      </c>
      <c r="G46" s="59" t="s">
        <v>483</v>
      </c>
      <c r="H46" s="65" t="s">
        <v>484</v>
      </c>
      <c r="I46" s="72"/>
      <c r="J46" s="65" t="s">
        <v>485</v>
      </c>
      <c r="K46" s="72"/>
      <c r="L46" s="65" t="s">
        <v>486</v>
      </c>
      <c r="M46" s="72"/>
      <c r="N46" s="65" t="s">
        <v>487</v>
      </c>
      <c r="O46" s="72"/>
      <c r="P46" s="58" t="s">
        <v>488</v>
      </c>
    </row>
    <row r="47" spans="2:16">
      <c r="B47" s="61"/>
      <c r="C47" s="58" t="s">
        <v>489</v>
      </c>
      <c r="D47" s="59" t="s">
        <v>490</v>
      </c>
      <c r="E47" s="59" t="s">
        <v>380</v>
      </c>
      <c r="F47" s="59" t="s">
        <v>491</v>
      </c>
      <c r="G47" s="59" t="s">
        <v>491</v>
      </c>
      <c r="H47" s="65" t="s">
        <v>165</v>
      </c>
      <c r="I47" s="72"/>
      <c r="J47" s="65" t="s">
        <v>164</v>
      </c>
      <c r="K47" s="72"/>
      <c r="L47" s="65" t="s">
        <v>171</v>
      </c>
      <c r="M47" s="72"/>
      <c r="N47" s="65" t="s">
        <v>172</v>
      </c>
      <c r="O47" s="72"/>
      <c r="P47" s="58" t="s">
        <v>488</v>
      </c>
    </row>
    <row r="48" spans="2:16">
      <c r="B48" s="61"/>
      <c r="C48" s="58" t="s">
        <v>492</v>
      </c>
      <c r="D48" s="59" t="s">
        <v>493</v>
      </c>
      <c r="E48" s="59" t="s">
        <v>380</v>
      </c>
      <c r="F48" s="59" t="s">
        <v>491</v>
      </c>
      <c r="G48" s="59" t="s">
        <v>491</v>
      </c>
      <c r="H48" s="65" t="s">
        <v>173</v>
      </c>
      <c r="I48" s="72"/>
      <c r="J48" s="65" t="s">
        <v>168</v>
      </c>
      <c r="K48" s="72"/>
      <c r="L48" s="65" t="s">
        <v>169</v>
      </c>
      <c r="M48" s="72"/>
      <c r="N48" s="65" t="s">
        <v>170</v>
      </c>
      <c r="O48" s="72"/>
      <c r="P48" s="58" t="s">
        <v>488</v>
      </c>
    </row>
    <row r="49" spans="2:16">
      <c r="B49" s="61"/>
      <c r="C49" s="58" t="s">
        <v>494</v>
      </c>
      <c r="D49" s="59" t="s">
        <v>495</v>
      </c>
      <c r="E49" s="59" t="s">
        <v>380</v>
      </c>
      <c r="F49" s="59" t="s">
        <v>114</v>
      </c>
      <c r="G49" s="59" t="s">
        <v>114</v>
      </c>
      <c r="H49" s="62"/>
      <c r="I49" s="70"/>
      <c r="J49" s="70"/>
      <c r="K49" s="70"/>
      <c r="L49" s="70"/>
      <c r="M49" s="67"/>
      <c r="N49" s="65" t="s">
        <v>496</v>
      </c>
      <c r="O49" s="72"/>
      <c r="P49" s="58" t="s">
        <v>488</v>
      </c>
    </row>
    <row r="50" spans="2:16">
      <c r="B50" s="61"/>
      <c r="C50" s="58" t="s">
        <v>497</v>
      </c>
      <c r="D50" s="59" t="s">
        <v>498</v>
      </c>
      <c r="E50" s="59" t="s">
        <v>380</v>
      </c>
      <c r="F50" s="59" t="s">
        <v>106</v>
      </c>
      <c r="G50" s="59" t="s">
        <v>234</v>
      </c>
      <c r="H50" s="58"/>
      <c r="I50" s="65" t="s">
        <v>499</v>
      </c>
      <c r="J50" s="71"/>
      <c r="K50" s="72"/>
      <c r="L50" s="58"/>
      <c r="M50" s="65" t="s">
        <v>500</v>
      </c>
      <c r="N50" s="71"/>
      <c r="O50" s="72"/>
      <c r="P50" s="58" t="s">
        <v>501</v>
      </c>
    </row>
    <row r="51" spans="2:16">
      <c r="B51" s="61"/>
      <c r="C51" s="58" t="s">
        <v>502</v>
      </c>
      <c r="D51" s="59" t="s">
        <v>503</v>
      </c>
      <c r="E51" s="59" t="s">
        <v>380</v>
      </c>
      <c r="F51" s="59" t="s">
        <v>106</v>
      </c>
      <c r="G51" s="59" t="s">
        <v>228</v>
      </c>
      <c r="H51" s="58"/>
      <c r="I51" s="65" t="s">
        <v>504</v>
      </c>
      <c r="J51" s="71"/>
      <c r="K51" s="72"/>
      <c r="L51" s="58"/>
      <c r="M51" s="65" t="s">
        <v>505</v>
      </c>
      <c r="N51" s="71"/>
      <c r="O51" s="72"/>
      <c r="P51" s="58" t="s">
        <v>501</v>
      </c>
    </row>
    <row r="52" spans="2:16">
      <c r="B52" s="61"/>
      <c r="C52" s="58" t="s">
        <v>506</v>
      </c>
      <c r="D52" s="59" t="s">
        <v>507</v>
      </c>
      <c r="E52" s="59" t="s">
        <v>380</v>
      </c>
      <c r="F52" s="59" t="s">
        <v>106</v>
      </c>
      <c r="G52" s="59" t="s">
        <v>228</v>
      </c>
      <c r="H52" s="58"/>
      <c r="I52" s="65" t="s">
        <v>508</v>
      </c>
      <c r="J52" s="71"/>
      <c r="K52" s="72"/>
      <c r="L52" s="58"/>
      <c r="M52" s="65" t="s">
        <v>509</v>
      </c>
      <c r="N52" s="71"/>
      <c r="O52" s="72"/>
      <c r="P52" s="58" t="s">
        <v>501</v>
      </c>
    </row>
    <row r="53" spans="2:16">
      <c r="B53" s="61"/>
      <c r="C53" s="58" t="s">
        <v>510</v>
      </c>
      <c r="D53" s="59" t="s">
        <v>511</v>
      </c>
      <c r="E53" s="59" t="s">
        <v>380</v>
      </c>
      <c r="F53" s="59" t="s">
        <v>106</v>
      </c>
      <c r="G53" s="59" t="s">
        <v>221</v>
      </c>
      <c r="H53" s="58"/>
      <c r="I53" s="65" t="s">
        <v>512</v>
      </c>
      <c r="J53" s="71"/>
      <c r="K53" s="72"/>
      <c r="L53" s="58"/>
      <c r="M53" s="65" t="s">
        <v>513</v>
      </c>
      <c r="N53" s="71"/>
      <c r="O53" s="72"/>
      <c r="P53" s="58" t="s">
        <v>501</v>
      </c>
    </row>
    <row r="54" spans="2:16">
      <c r="B54" s="61"/>
      <c r="C54" s="58" t="s">
        <v>514</v>
      </c>
      <c r="D54" s="59" t="s">
        <v>515</v>
      </c>
      <c r="E54" s="59" t="s">
        <v>380</v>
      </c>
      <c r="F54" s="59" t="s">
        <v>106</v>
      </c>
      <c r="G54" s="59" t="s">
        <v>114</v>
      </c>
      <c r="H54" s="62"/>
      <c r="I54" s="70"/>
      <c r="J54" s="70"/>
      <c r="K54" s="70"/>
      <c r="L54" s="67"/>
      <c r="M54" s="65" t="s">
        <v>516</v>
      </c>
      <c r="N54" s="71"/>
      <c r="O54" s="72"/>
      <c r="P54" s="58" t="s">
        <v>501</v>
      </c>
    </row>
    <row r="55" spans="2:16">
      <c r="B55" s="61"/>
      <c r="C55" s="58" t="s">
        <v>517</v>
      </c>
      <c r="D55" s="59" t="s">
        <v>518</v>
      </c>
      <c r="E55" s="59" t="s">
        <v>380</v>
      </c>
      <c r="F55" s="59" t="s">
        <v>257</v>
      </c>
      <c r="G55" s="59" t="s">
        <v>257</v>
      </c>
      <c r="H55" s="58"/>
      <c r="I55" s="65" t="s">
        <v>519</v>
      </c>
      <c r="J55" s="71"/>
      <c r="K55" s="71"/>
      <c r="L55" s="71"/>
      <c r="M55" s="71"/>
      <c r="N55" s="71"/>
      <c r="O55" s="72"/>
      <c r="P55" s="58" t="s">
        <v>520</v>
      </c>
    </row>
    <row r="56" spans="2:16">
      <c r="B56" s="61"/>
      <c r="C56" s="58" t="s">
        <v>523</v>
      </c>
      <c r="D56" s="59" t="s">
        <v>524</v>
      </c>
      <c r="E56" s="59" t="s">
        <v>380</v>
      </c>
      <c r="F56" s="59" t="s">
        <v>111</v>
      </c>
      <c r="G56" s="59" t="s">
        <v>106</v>
      </c>
      <c r="H56" s="62"/>
      <c r="I56" s="70"/>
      <c r="J56" s="70"/>
      <c r="K56" s="70"/>
      <c r="L56" s="70"/>
      <c r="M56" s="70"/>
      <c r="N56" s="67"/>
      <c r="O56" s="73" t="s">
        <v>240</v>
      </c>
      <c r="P56" s="58" t="s">
        <v>525</v>
      </c>
    </row>
    <row r="57" spans="2:16">
      <c r="B57" s="61"/>
      <c r="C57" s="58" t="s">
        <v>527</v>
      </c>
      <c r="D57" s="59" t="s">
        <v>528</v>
      </c>
      <c r="E57" s="59" t="s">
        <v>380</v>
      </c>
      <c r="F57" s="59" t="s">
        <v>106</v>
      </c>
      <c r="G57" s="59" t="s">
        <v>139</v>
      </c>
      <c r="H57" s="62"/>
      <c r="I57" s="70"/>
      <c r="J57" s="70"/>
      <c r="K57" s="67"/>
      <c r="L57" s="65" t="s">
        <v>529</v>
      </c>
      <c r="M57" s="71"/>
      <c r="N57" s="71"/>
      <c r="O57" s="72"/>
      <c r="P57" s="58" t="s">
        <v>530</v>
      </c>
    </row>
    <row r="58" spans="2:16">
      <c r="B58" s="64"/>
      <c r="C58" s="58" t="s">
        <v>531</v>
      </c>
      <c r="D58" s="59" t="s">
        <v>532</v>
      </c>
      <c r="E58" s="59" t="s">
        <v>380</v>
      </c>
      <c r="F58" s="59" t="s">
        <v>114</v>
      </c>
      <c r="G58" s="59" t="s">
        <v>106</v>
      </c>
      <c r="H58" s="62"/>
      <c r="I58" s="70"/>
      <c r="J58" s="70"/>
      <c r="K58" s="70"/>
      <c r="L58" s="70"/>
      <c r="M58" s="67"/>
      <c r="N58" s="73" t="s">
        <v>245</v>
      </c>
      <c r="O58" s="73" t="s">
        <v>239</v>
      </c>
      <c r="P58" s="58" t="s">
        <v>533</v>
      </c>
    </row>
    <row r="59" spans="2:16">
      <c r="B59" s="66" t="s">
        <v>534</v>
      </c>
      <c r="C59" s="58" t="s">
        <v>535</v>
      </c>
      <c r="D59" s="59" t="s">
        <v>536</v>
      </c>
      <c r="E59" s="59" t="s">
        <v>380</v>
      </c>
      <c r="F59" s="59" t="s">
        <v>106</v>
      </c>
      <c r="G59" s="59" t="s">
        <v>106</v>
      </c>
      <c r="H59" s="65" t="s">
        <v>537</v>
      </c>
      <c r="I59" s="71"/>
      <c r="J59" s="71"/>
      <c r="K59" s="71"/>
      <c r="L59" s="71"/>
      <c r="M59" s="71"/>
      <c r="N59" s="71"/>
      <c r="O59" s="72"/>
      <c r="P59" s="58" t="s">
        <v>538</v>
      </c>
    </row>
    <row r="60" ht="15" customHeight="1" spans="2:16">
      <c r="B60" s="57" t="s">
        <v>539</v>
      </c>
      <c r="C60" s="58" t="s">
        <v>540</v>
      </c>
      <c r="D60" s="59" t="s">
        <v>541</v>
      </c>
      <c r="E60" s="59" t="s">
        <v>380</v>
      </c>
      <c r="F60" s="59" t="s">
        <v>106</v>
      </c>
      <c r="G60" s="59" t="s">
        <v>349</v>
      </c>
      <c r="H60" s="62"/>
      <c r="I60" s="67"/>
      <c r="J60" s="63" t="s">
        <v>542</v>
      </c>
      <c r="K60" s="69"/>
      <c r="L60" s="68"/>
      <c r="M60" s="62"/>
      <c r="N60" s="70"/>
      <c r="O60" s="67"/>
      <c r="P60" s="58" t="s">
        <v>543</v>
      </c>
    </row>
    <row r="61" spans="2:16">
      <c r="B61" s="61"/>
      <c r="C61" s="58" t="s">
        <v>544</v>
      </c>
      <c r="D61" s="59" t="s">
        <v>545</v>
      </c>
      <c r="E61" s="59" t="s">
        <v>357</v>
      </c>
      <c r="F61" s="59" t="s">
        <v>106</v>
      </c>
      <c r="G61" s="59" t="s">
        <v>349</v>
      </c>
      <c r="H61" s="63" t="s">
        <v>546</v>
      </c>
      <c r="I61" s="69"/>
      <c r="J61" s="69"/>
      <c r="K61" s="69"/>
      <c r="L61" s="69"/>
      <c r="M61" s="69"/>
      <c r="N61" s="69"/>
      <c r="O61" s="68"/>
      <c r="P61" s="58" t="s">
        <v>547</v>
      </c>
    </row>
    <row r="62" spans="2:16">
      <c r="B62" s="61"/>
      <c r="C62" s="58" t="s">
        <v>548</v>
      </c>
      <c r="D62" s="59" t="s">
        <v>549</v>
      </c>
      <c r="E62" s="59" t="s">
        <v>357</v>
      </c>
      <c r="F62" s="59" t="s">
        <v>106</v>
      </c>
      <c r="G62" s="59" t="s">
        <v>349</v>
      </c>
      <c r="H62" s="63" t="s">
        <v>550</v>
      </c>
      <c r="I62" s="69"/>
      <c r="J62" s="69"/>
      <c r="K62" s="69"/>
      <c r="L62" s="69"/>
      <c r="M62" s="69"/>
      <c r="N62" s="69"/>
      <c r="O62" s="68"/>
      <c r="P62" s="58" t="s">
        <v>551</v>
      </c>
    </row>
    <row r="63" spans="2:16">
      <c r="B63" s="61"/>
      <c r="C63" s="58" t="s">
        <v>552</v>
      </c>
      <c r="D63" s="59" t="s">
        <v>553</v>
      </c>
      <c r="E63" s="59" t="s">
        <v>357</v>
      </c>
      <c r="F63" s="59" t="s">
        <v>106</v>
      </c>
      <c r="G63" s="59" t="s">
        <v>349</v>
      </c>
      <c r="H63" s="63" t="s">
        <v>554</v>
      </c>
      <c r="I63" s="69"/>
      <c r="J63" s="69"/>
      <c r="K63" s="69"/>
      <c r="L63" s="69"/>
      <c r="M63" s="69"/>
      <c r="N63" s="69"/>
      <c r="O63" s="68"/>
      <c r="P63" s="58" t="s">
        <v>555</v>
      </c>
    </row>
    <row r="64" spans="2:16">
      <c r="B64" s="61"/>
      <c r="C64" s="58" t="s">
        <v>556</v>
      </c>
      <c r="D64" s="59" t="s">
        <v>557</v>
      </c>
      <c r="E64" s="59" t="s">
        <v>357</v>
      </c>
      <c r="F64" s="59" t="s">
        <v>106</v>
      </c>
      <c r="G64" s="59" t="s">
        <v>349</v>
      </c>
      <c r="H64" s="63" t="s">
        <v>558</v>
      </c>
      <c r="I64" s="69"/>
      <c r="J64" s="69"/>
      <c r="K64" s="69"/>
      <c r="L64" s="69"/>
      <c r="M64" s="69"/>
      <c r="N64" s="69"/>
      <c r="O64" s="68"/>
      <c r="P64" s="58" t="s">
        <v>559</v>
      </c>
    </row>
    <row r="65" spans="2:16">
      <c r="B65" s="61"/>
      <c r="C65" s="58" t="s">
        <v>560</v>
      </c>
      <c r="D65" s="59" t="s">
        <v>561</v>
      </c>
      <c r="E65" s="59" t="s">
        <v>357</v>
      </c>
      <c r="F65" s="59" t="s">
        <v>106</v>
      </c>
      <c r="G65" s="59" t="s">
        <v>349</v>
      </c>
      <c r="H65" s="63" t="s">
        <v>562</v>
      </c>
      <c r="I65" s="69"/>
      <c r="J65" s="69"/>
      <c r="K65" s="69"/>
      <c r="L65" s="69"/>
      <c r="M65" s="69"/>
      <c r="N65" s="69"/>
      <c r="O65" s="68"/>
      <c r="P65" s="58" t="s">
        <v>563</v>
      </c>
    </row>
    <row r="66" spans="2:16">
      <c r="B66" s="61"/>
      <c r="C66" s="58" t="s">
        <v>564</v>
      </c>
      <c r="D66" s="59" t="s">
        <v>565</v>
      </c>
      <c r="E66" s="59" t="s">
        <v>357</v>
      </c>
      <c r="F66" s="59" t="s">
        <v>106</v>
      </c>
      <c r="G66" s="59" t="s">
        <v>349</v>
      </c>
      <c r="H66" s="63" t="s">
        <v>566</v>
      </c>
      <c r="I66" s="69"/>
      <c r="J66" s="69"/>
      <c r="K66" s="69"/>
      <c r="L66" s="69"/>
      <c r="M66" s="69"/>
      <c r="N66" s="69"/>
      <c r="O66" s="68"/>
      <c r="P66" s="58" t="s">
        <v>567</v>
      </c>
    </row>
    <row r="67" spans="2:16">
      <c r="B67" s="61"/>
      <c r="C67" s="58" t="s">
        <v>568</v>
      </c>
      <c r="D67" s="59" t="s">
        <v>569</v>
      </c>
      <c r="E67" s="59" t="s">
        <v>357</v>
      </c>
      <c r="F67" s="59" t="s">
        <v>106</v>
      </c>
      <c r="G67" s="59" t="s">
        <v>349</v>
      </c>
      <c r="H67" s="63" t="s">
        <v>570</v>
      </c>
      <c r="I67" s="69"/>
      <c r="J67" s="69"/>
      <c r="K67" s="69"/>
      <c r="L67" s="69"/>
      <c r="M67" s="69"/>
      <c r="N67" s="69"/>
      <c r="O67" s="68"/>
      <c r="P67" s="58" t="s">
        <v>571</v>
      </c>
    </row>
    <row r="68" spans="2:16">
      <c r="B68" s="64"/>
      <c r="C68" s="58" t="s">
        <v>572</v>
      </c>
      <c r="D68" s="59" t="s">
        <v>573</v>
      </c>
      <c r="E68" s="59" t="s">
        <v>357</v>
      </c>
      <c r="F68" s="59" t="s">
        <v>106</v>
      </c>
      <c r="G68" s="59" t="s">
        <v>349</v>
      </c>
      <c r="H68" s="63" t="s">
        <v>574</v>
      </c>
      <c r="I68" s="69"/>
      <c r="J68" s="69"/>
      <c r="K68" s="69"/>
      <c r="L68" s="69"/>
      <c r="M68" s="69"/>
      <c r="N68" s="69"/>
      <c r="O68" s="68"/>
      <c r="P68" s="58" t="s">
        <v>575</v>
      </c>
    </row>
    <row r="69" spans="2:16">
      <c r="B69" s="57" t="s">
        <v>576</v>
      </c>
      <c r="C69" s="58" t="s">
        <v>577</v>
      </c>
      <c r="D69" s="59" t="s">
        <v>578</v>
      </c>
      <c r="E69" s="59" t="s">
        <v>380</v>
      </c>
      <c r="F69" s="59" t="s">
        <v>106</v>
      </c>
      <c r="G69" s="59" t="s">
        <v>349</v>
      </c>
      <c r="H69" s="60" t="s">
        <v>579</v>
      </c>
      <c r="I69" s="58"/>
      <c r="J69" s="63" t="s">
        <v>577</v>
      </c>
      <c r="K69" s="68"/>
      <c r="L69" s="62"/>
      <c r="M69" s="70"/>
      <c r="N69" s="67"/>
      <c r="O69" s="60" t="s">
        <v>580</v>
      </c>
      <c r="P69" s="58" t="s">
        <v>581</v>
      </c>
    </row>
    <row r="70" spans="2:16">
      <c r="B70" s="61"/>
      <c r="C70" s="58" t="s">
        <v>582</v>
      </c>
      <c r="D70" s="59" t="s">
        <v>583</v>
      </c>
      <c r="E70" s="59" t="s">
        <v>584</v>
      </c>
      <c r="F70" s="59" t="s">
        <v>106</v>
      </c>
      <c r="G70" s="59" t="s">
        <v>349</v>
      </c>
      <c r="H70" s="60" t="s">
        <v>585</v>
      </c>
      <c r="I70" s="62"/>
      <c r="J70" s="70"/>
      <c r="K70" s="70"/>
      <c r="L70" s="70"/>
      <c r="M70" s="70"/>
      <c r="N70" s="70"/>
      <c r="O70" s="67"/>
      <c r="P70" s="58" t="s">
        <v>586</v>
      </c>
    </row>
    <row r="71" spans="2:16">
      <c r="B71" s="61"/>
      <c r="C71" s="58" t="s">
        <v>587</v>
      </c>
      <c r="D71" s="59" t="s">
        <v>588</v>
      </c>
      <c r="E71" s="59" t="s">
        <v>380</v>
      </c>
      <c r="F71" s="59" t="s">
        <v>106</v>
      </c>
      <c r="G71" s="59" t="s">
        <v>349</v>
      </c>
      <c r="H71" s="62"/>
      <c r="I71" s="70"/>
      <c r="J71" s="70"/>
      <c r="K71" s="70"/>
      <c r="L71" s="70"/>
      <c r="M71" s="70"/>
      <c r="N71" s="67"/>
      <c r="O71" s="60" t="s">
        <v>589</v>
      </c>
      <c r="P71" s="58" t="s">
        <v>590</v>
      </c>
    </row>
    <row r="72" spans="2:16">
      <c r="B72" s="61"/>
      <c r="C72" s="58" t="s">
        <v>591</v>
      </c>
      <c r="D72" s="59" t="s">
        <v>592</v>
      </c>
      <c r="E72" s="59" t="s">
        <v>380</v>
      </c>
      <c r="F72" s="59" t="s">
        <v>106</v>
      </c>
      <c r="G72" s="59" t="s">
        <v>349</v>
      </c>
      <c r="H72" s="58"/>
      <c r="I72" s="63" t="s">
        <v>593</v>
      </c>
      <c r="J72" s="69"/>
      <c r="K72" s="69"/>
      <c r="L72" s="69"/>
      <c r="M72" s="69"/>
      <c r="N72" s="69"/>
      <c r="O72" s="68"/>
      <c r="P72" s="58" t="s">
        <v>594</v>
      </c>
    </row>
    <row r="73" spans="2:16">
      <c r="B73" s="61"/>
      <c r="C73" s="58" t="s">
        <v>595</v>
      </c>
      <c r="D73" s="59" t="s">
        <v>596</v>
      </c>
      <c r="E73" s="59" t="s">
        <v>380</v>
      </c>
      <c r="F73" s="59" t="s">
        <v>106</v>
      </c>
      <c r="G73" s="59" t="s">
        <v>349</v>
      </c>
      <c r="H73" s="58"/>
      <c r="I73" s="63" t="s">
        <v>597</v>
      </c>
      <c r="J73" s="69"/>
      <c r="K73" s="69"/>
      <c r="L73" s="69"/>
      <c r="M73" s="69"/>
      <c r="N73" s="69"/>
      <c r="O73" s="68"/>
      <c r="P73" s="58" t="s">
        <v>594</v>
      </c>
    </row>
    <row r="74" spans="2:16">
      <c r="B74" s="61"/>
      <c r="C74" s="58" t="s">
        <v>598</v>
      </c>
      <c r="D74" s="59" t="s">
        <v>599</v>
      </c>
      <c r="E74" s="59" t="s">
        <v>380</v>
      </c>
      <c r="F74" s="59" t="s">
        <v>106</v>
      </c>
      <c r="G74" s="59" t="s">
        <v>349</v>
      </c>
      <c r="H74" s="62"/>
      <c r="I74" s="67"/>
      <c r="J74" s="63" t="s">
        <v>600</v>
      </c>
      <c r="K74" s="68"/>
      <c r="L74" s="62"/>
      <c r="M74" s="67"/>
      <c r="N74" s="63" t="s">
        <v>601</v>
      </c>
      <c r="O74" s="68"/>
      <c r="P74" s="58" t="s">
        <v>602</v>
      </c>
    </row>
    <row r="75" spans="2:16">
      <c r="B75" s="61"/>
      <c r="C75" s="58" t="s">
        <v>603</v>
      </c>
      <c r="D75" s="59" t="s">
        <v>604</v>
      </c>
      <c r="E75" s="59" t="s">
        <v>380</v>
      </c>
      <c r="F75" s="59" t="s">
        <v>106</v>
      </c>
      <c r="G75" s="59" t="s">
        <v>349</v>
      </c>
      <c r="H75" s="63" t="s">
        <v>605</v>
      </c>
      <c r="I75" s="69"/>
      <c r="J75" s="69"/>
      <c r="K75" s="69"/>
      <c r="L75" s="69"/>
      <c r="M75" s="69"/>
      <c r="N75" s="69"/>
      <c r="O75" s="68"/>
      <c r="P75" s="58" t="s">
        <v>606</v>
      </c>
    </row>
    <row r="76" spans="2:16">
      <c r="B76" s="61"/>
      <c r="C76" s="58" t="s">
        <v>607</v>
      </c>
      <c r="D76" s="59" t="s">
        <v>608</v>
      </c>
      <c r="E76" s="59" t="s">
        <v>380</v>
      </c>
      <c r="F76" s="59" t="s">
        <v>106</v>
      </c>
      <c r="G76" s="59" t="s">
        <v>349</v>
      </c>
      <c r="H76" s="63" t="s">
        <v>609</v>
      </c>
      <c r="I76" s="69"/>
      <c r="J76" s="69"/>
      <c r="K76" s="69"/>
      <c r="L76" s="69"/>
      <c r="M76" s="69"/>
      <c r="N76" s="69"/>
      <c r="O76" s="68"/>
      <c r="P76" s="58" t="s">
        <v>610</v>
      </c>
    </row>
    <row r="77" spans="2:16">
      <c r="B77" s="61"/>
      <c r="C77" s="58" t="s">
        <v>611</v>
      </c>
      <c r="D77" s="59" t="s">
        <v>612</v>
      </c>
      <c r="E77" s="59" t="s">
        <v>380</v>
      </c>
      <c r="F77" s="59" t="s">
        <v>106</v>
      </c>
      <c r="G77" s="59" t="s">
        <v>349</v>
      </c>
      <c r="H77" s="60" t="s">
        <v>613</v>
      </c>
      <c r="I77" s="60" t="s">
        <v>614</v>
      </c>
      <c r="J77" s="60" t="s">
        <v>615</v>
      </c>
      <c r="K77" s="60" t="s">
        <v>616</v>
      </c>
      <c r="L77" s="60" t="s">
        <v>617</v>
      </c>
      <c r="M77" s="60" t="s">
        <v>618</v>
      </c>
      <c r="N77" s="60" t="s">
        <v>619</v>
      </c>
      <c r="O77" s="60" t="s">
        <v>620</v>
      </c>
      <c r="P77" s="58" t="s">
        <v>621</v>
      </c>
    </row>
    <row r="78" spans="2:16">
      <c r="B78" s="61"/>
      <c r="C78" s="58" t="s">
        <v>622</v>
      </c>
      <c r="D78" s="59" t="s">
        <v>623</v>
      </c>
      <c r="E78" s="59" t="s">
        <v>380</v>
      </c>
      <c r="F78" s="59" t="s">
        <v>106</v>
      </c>
      <c r="G78" s="59" t="s">
        <v>349</v>
      </c>
      <c r="H78" s="60" t="s">
        <v>624</v>
      </c>
      <c r="I78" s="60" t="s">
        <v>625</v>
      </c>
      <c r="J78" s="60" t="s">
        <v>626</v>
      </c>
      <c r="K78" s="60" t="s">
        <v>90</v>
      </c>
      <c r="L78" s="60" t="s">
        <v>627</v>
      </c>
      <c r="M78" s="60" t="s">
        <v>628</v>
      </c>
      <c r="N78" s="60" t="s">
        <v>629</v>
      </c>
      <c r="O78" s="60" t="s">
        <v>630</v>
      </c>
      <c r="P78" s="58" t="s">
        <v>621</v>
      </c>
    </row>
    <row r="79" spans="2:16">
      <c r="B79" s="61"/>
      <c r="C79" s="58" t="s">
        <v>631</v>
      </c>
      <c r="D79" s="59" t="s">
        <v>632</v>
      </c>
      <c r="E79" s="59" t="s">
        <v>380</v>
      </c>
      <c r="F79" s="59" t="s">
        <v>106</v>
      </c>
      <c r="G79" s="59" t="s">
        <v>349</v>
      </c>
      <c r="H79" s="63" t="s">
        <v>633</v>
      </c>
      <c r="I79" s="69"/>
      <c r="J79" s="69"/>
      <c r="K79" s="69"/>
      <c r="L79" s="68"/>
      <c r="M79" s="60" t="s">
        <v>634</v>
      </c>
      <c r="N79" s="60" t="s">
        <v>635</v>
      </c>
      <c r="O79" s="60" t="s">
        <v>636</v>
      </c>
      <c r="P79" s="58" t="s">
        <v>621</v>
      </c>
    </row>
    <row r="80" spans="2:16">
      <c r="B80" s="61"/>
      <c r="C80" s="58" t="s">
        <v>637</v>
      </c>
      <c r="D80" s="59" t="s">
        <v>638</v>
      </c>
      <c r="E80" s="59" t="s">
        <v>380</v>
      </c>
      <c r="F80" s="59" t="s">
        <v>106</v>
      </c>
      <c r="G80" s="59" t="s">
        <v>349</v>
      </c>
      <c r="H80" s="62"/>
      <c r="I80" s="70"/>
      <c r="J80" s="70"/>
      <c r="K80" s="70"/>
      <c r="L80" s="70"/>
      <c r="M80" s="67"/>
      <c r="N80" s="60" t="s">
        <v>639</v>
      </c>
      <c r="O80" s="60" t="s">
        <v>640</v>
      </c>
      <c r="P80" s="58" t="s">
        <v>641</v>
      </c>
    </row>
    <row r="81" spans="2:16">
      <c r="B81" s="61"/>
      <c r="C81" s="58" t="s">
        <v>642</v>
      </c>
      <c r="D81" s="59" t="s">
        <v>643</v>
      </c>
      <c r="E81" s="59" t="s">
        <v>380</v>
      </c>
      <c r="F81" s="59" t="s">
        <v>106</v>
      </c>
      <c r="G81" s="59" t="s">
        <v>349</v>
      </c>
      <c r="H81" s="63" t="s">
        <v>644</v>
      </c>
      <c r="I81" s="68"/>
      <c r="J81" s="63" t="s">
        <v>645</v>
      </c>
      <c r="K81" s="68"/>
      <c r="L81" s="63" t="s">
        <v>646</v>
      </c>
      <c r="M81" s="68"/>
      <c r="N81" s="63" t="s">
        <v>647</v>
      </c>
      <c r="O81" s="68"/>
      <c r="P81" s="58" t="s">
        <v>648</v>
      </c>
    </row>
    <row r="82" spans="2:16">
      <c r="B82" s="61"/>
      <c r="C82" s="58" t="s">
        <v>649</v>
      </c>
      <c r="D82" s="59" t="s">
        <v>650</v>
      </c>
      <c r="E82" s="59" t="s">
        <v>380</v>
      </c>
      <c r="F82" s="59" t="s">
        <v>106</v>
      </c>
      <c r="G82" s="59" t="s">
        <v>349</v>
      </c>
      <c r="H82" s="63" t="s">
        <v>651</v>
      </c>
      <c r="I82" s="68"/>
      <c r="J82" s="63" t="s">
        <v>652</v>
      </c>
      <c r="K82" s="68"/>
      <c r="L82" s="63" t="s">
        <v>653</v>
      </c>
      <c r="M82" s="68"/>
      <c r="N82" s="63" t="s">
        <v>654</v>
      </c>
      <c r="O82" s="68"/>
      <c r="P82" s="58" t="s">
        <v>648</v>
      </c>
    </row>
    <row r="83" spans="2:16">
      <c r="B83" s="61"/>
      <c r="C83" s="58" t="s">
        <v>655</v>
      </c>
      <c r="D83" s="59" t="s">
        <v>656</v>
      </c>
      <c r="E83" s="59" t="s">
        <v>380</v>
      </c>
      <c r="F83" s="59" t="s">
        <v>106</v>
      </c>
      <c r="G83" s="59" t="s">
        <v>349</v>
      </c>
      <c r="H83" s="63" t="s">
        <v>657</v>
      </c>
      <c r="I83" s="68"/>
      <c r="J83" s="63" t="s">
        <v>658</v>
      </c>
      <c r="K83" s="68"/>
      <c r="L83" s="63" t="s">
        <v>659</v>
      </c>
      <c r="M83" s="68"/>
      <c r="N83" s="63" t="s">
        <v>660</v>
      </c>
      <c r="O83" s="68"/>
      <c r="P83" s="58" t="s">
        <v>648</v>
      </c>
    </row>
    <row r="84" spans="2:16">
      <c r="B84" s="61"/>
      <c r="C84" s="58" t="s">
        <v>661</v>
      </c>
      <c r="D84" s="59" t="s">
        <v>662</v>
      </c>
      <c r="E84" s="59" t="s">
        <v>380</v>
      </c>
      <c r="F84" s="59" t="s">
        <v>106</v>
      </c>
      <c r="G84" s="59" t="s">
        <v>349</v>
      </c>
      <c r="H84" s="63" t="s">
        <v>663</v>
      </c>
      <c r="I84" s="68"/>
      <c r="J84" s="63" t="s">
        <v>664</v>
      </c>
      <c r="K84" s="68"/>
      <c r="L84" s="63" t="s">
        <v>665</v>
      </c>
      <c r="M84" s="68"/>
      <c r="N84" s="63" t="s">
        <v>666</v>
      </c>
      <c r="O84" s="68"/>
      <c r="P84" s="58" t="s">
        <v>648</v>
      </c>
    </row>
    <row r="85" spans="2:16">
      <c r="B85" s="61"/>
      <c r="C85" s="58" t="s">
        <v>667</v>
      </c>
      <c r="D85" s="59" t="s">
        <v>668</v>
      </c>
      <c r="E85" s="59" t="s">
        <v>380</v>
      </c>
      <c r="F85" s="59" t="s">
        <v>106</v>
      </c>
      <c r="G85" s="59" t="s">
        <v>349</v>
      </c>
      <c r="H85" s="62"/>
      <c r="I85" s="70"/>
      <c r="J85" s="70"/>
      <c r="K85" s="70"/>
      <c r="L85" s="70"/>
      <c r="M85" s="67"/>
      <c r="N85" s="60" t="s">
        <v>669</v>
      </c>
      <c r="O85" s="60" t="s">
        <v>670</v>
      </c>
      <c r="P85" s="58" t="s">
        <v>671</v>
      </c>
    </row>
    <row r="86" spans="2:16">
      <c r="B86" s="61"/>
      <c r="C86" s="58" t="s">
        <v>672</v>
      </c>
      <c r="D86" s="59" t="s">
        <v>673</v>
      </c>
      <c r="E86" s="59" t="s">
        <v>380</v>
      </c>
      <c r="F86" s="59" t="s">
        <v>106</v>
      </c>
      <c r="G86" s="59" t="s">
        <v>349</v>
      </c>
      <c r="H86" s="63" t="s">
        <v>669</v>
      </c>
      <c r="I86" s="68"/>
      <c r="J86" s="58"/>
      <c r="K86" s="63" t="s">
        <v>670</v>
      </c>
      <c r="L86" s="69"/>
      <c r="M86" s="69"/>
      <c r="N86" s="69"/>
      <c r="O86" s="68"/>
      <c r="P86" s="58" t="s">
        <v>674</v>
      </c>
    </row>
    <row r="87" spans="2:16">
      <c r="B87" s="61"/>
      <c r="C87" s="58" t="s">
        <v>675</v>
      </c>
      <c r="D87" s="59" t="s">
        <v>676</v>
      </c>
      <c r="E87" s="59" t="s">
        <v>380</v>
      </c>
      <c r="F87" s="59" t="s">
        <v>106</v>
      </c>
      <c r="G87" s="59" t="s">
        <v>349</v>
      </c>
      <c r="H87" s="62"/>
      <c r="I87" s="70"/>
      <c r="J87" s="70"/>
      <c r="K87" s="70"/>
      <c r="L87" s="70"/>
      <c r="M87" s="70"/>
      <c r="N87" s="67"/>
      <c r="O87" s="60" t="s">
        <v>677</v>
      </c>
      <c r="P87" s="58" t="s">
        <v>678</v>
      </c>
    </row>
    <row r="88" spans="2:16">
      <c r="B88" s="64"/>
      <c r="C88" s="58" t="s">
        <v>679</v>
      </c>
      <c r="D88" s="59" t="s">
        <v>680</v>
      </c>
      <c r="E88" s="59" t="s">
        <v>380</v>
      </c>
      <c r="F88" s="59" t="s">
        <v>106</v>
      </c>
      <c r="G88" s="59" t="s">
        <v>349</v>
      </c>
      <c r="H88" s="60" t="s">
        <v>681</v>
      </c>
      <c r="I88" s="62"/>
      <c r="J88" s="70"/>
      <c r="K88" s="67"/>
      <c r="L88" s="60" t="s">
        <v>682</v>
      </c>
      <c r="M88" s="60" t="s">
        <v>683</v>
      </c>
      <c r="N88" s="60" t="s">
        <v>684</v>
      </c>
      <c r="O88" s="60" t="s">
        <v>685</v>
      </c>
      <c r="P88" s="58" t="s">
        <v>686</v>
      </c>
    </row>
    <row r="89" ht="15" customHeight="1" spans="2:16">
      <c r="B89" s="57" t="s">
        <v>687</v>
      </c>
      <c r="C89" s="58" t="s">
        <v>688</v>
      </c>
      <c r="D89" s="59" t="s">
        <v>689</v>
      </c>
      <c r="E89" s="59" t="s">
        <v>380</v>
      </c>
      <c r="F89" s="59" t="s">
        <v>162</v>
      </c>
      <c r="G89" s="59" t="s">
        <v>349</v>
      </c>
      <c r="H89" s="62"/>
      <c r="I89" s="70"/>
      <c r="J89" s="67"/>
      <c r="K89" s="60" t="s">
        <v>690</v>
      </c>
      <c r="L89" s="62"/>
      <c r="M89" s="67"/>
      <c r="N89" s="63" t="s">
        <v>691</v>
      </c>
      <c r="O89" s="68"/>
      <c r="P89" s="58" t="s">
        <v>692</v>
      </c>
    </row>
    <row r="90" spans="2:16">
      <c r="B90" s="61"/>
      <c r="C90" s="58" t="s">
        <v>693</v>
      </c>
      <c r="D90" s="59" t="s">
        <v>694</v>
      </c>
      <c r="E90" s="59" t="s">
        <v>380</v>
      </c>
      <c r="F90" s="59" t="s">
        <v>106</v>
      </c>
      <c r="G90" s="59" t="s">
        <v>349</v>
      </c>
      <c r="H90" s="58"/>
      <c r="I90" s="63" t="s">
        <v>542</v>
      </c>
      <c r="J90" s="69"/>
      <c r="K90" s="69"/>
      <c r="L90" s="69"/>
      <c r="M90" s="69"/>
      <c r="N90" s="69"/>
      <c r="O90" s="68"/>
      <c r="P90" s="58" t="s">
        <v>695</v>
      </c>
    </row>
    <row r="91" spans="2:16">
      <c r="B91" s="61"/>
      <c r="C91" s="58" t="s">
        <v>696</v>
      </c>
      <c r="D91" s="59" t="s">
        <v>697</v>
      </c>
      <c r="E91" s="59" t="s">
        <v>380</v>
      </c>
      <c r="F91" s="59" t="s">
        <v>106</v>
      </c>
      <c r="G91" s="59" t="s">
        <v>349</v>
      </c>
      <c r="H91" s="60" t="s">
        <v>698</v>
      </c>
      <c r="I91" s="58"/>
      <c r="J91" s="63" t="s">
        <v>699</v>
      </c>
      <c r="K91" s="68"/>
      <c r="L91" s="58"/>
      <c r="M91" s="60" t="s">
        <v>700</v>
      </c>
      <c r="N91" s="60" t="s">
        <v>701</v>
      </c>
      <c r="O91" s="60" t="s">
        <v>702</v>
      </c>
      <c r="P91" s="58" t="s">
        <v>703</v>
      </c>
    </row>
    <row r="92" spans="2:16">
      <c r="B92" s="61"/>
      <c r="C92" s="58" t="s">
        <v>704</v>
      </c>
      <c r="D92" s="59" t="s">
        <v>705</v>
      </c>
      <c r="E92" s="59" t="s">
        <v>357</v>
      </c>
      <c r="F92" s="59" t="s">
        <v>106</v>
      </c>
      <c r="G92" s="59" t="s">
        <v>349</v>
      </c>
      <c r="H92" s="60" t="s">
        <v>350</v>
      </c>
      <c r="I92" s="60" t="s">
        <v>351</v>
      </c>
      <c r="J92" s="63" t="s">
        <v>706</v>
      </c>
      <c r="K92" s="68"/>
      <c r="L92" s="60" t="s">
        <v>707</v>
      </c>
      <c r="M92" s="60" t="s">
        <v>708</v>
      </c>
      <c r="N92" s="60" t="s">
        <v>709</v>
      </c>
      <c r="O92" s="60" t="s">
        <v>710</v>
      </c>
      <c r="P92" s="58" t="s">
        <v>711</v>
      </c>
    </row>
    <row r="93" spans="2:16">
      <c r="B93" s="61"/>
      <c r="C93" s="58" t="s">
        <v>712</v>
      </c>
      <c r="D93" s="59" t="s">
        <v>713</v>
      </c>
      <c r="E93" s="59" t="s">
        <v>380</v>
      </c>
      <c r="F93" s="59" t="s">
        <v>106</v>
      </c>
      <c r="G93" s="59" t="s">
        <v>349</v>
      </c>
      <c r="H93" s="60" t="s">
        <v>714</v>
      </c>
      <c r="I93" s="60" t="s">
        <v>715</v>
      </c>
      <c r="J93" s="62"/>
      <c r="K93" s="67"/>
      <c r="L93" s="63" t="s">
        <v>716</v>
      </c>
      <c r="M93" s="69"/>
      <c r="N93" s="68"/>
      <c r="O93" s="60" t="s">
        <v>717</v>
      </c>
      <c r="P93" s="58" t="s">
        <v>718</v>
      </c>
    </row>
    <row r="94" spans="2:16">
      <c r="B94" s="61"/>
      <c r="C94" s="58" t="s">
        <v>719</v>
      </c>
      <c r="D94" s="59" t="s">
        <v>720</v>
      </c>
      <c r="E94" s="59" t="s">
        <v>380</v>
      </c>
      <c r="F94" s="59" t="s">
        <v>106</v>
      </c>
      <c r="G94" s="59" t="s">
        <v>349</v>
      </c>
      <c r="H94" s="62"/>
      <c r="I94" s="70"/>
      <c r="J94" s="70"/>
      <c r="K94" s="70"/>
      <c r="L94" s="70"/>
      <c r="M94" s="70"/>
      <c r="N94" s="67"/>
      <c r="O94" s="60" t="s">
        <v>721</v>
      </c>
      <c r="P94" s="58" t="s">
        <v>722</v>
      </c>
    </row>
    <row r="95" spans="2:16">
      <c r="B95" s="61"/>
      <c r="C95" s="58" t="s">
        <v>723</v>
      </c>
      <c r="D95" s="59" t="s">
        <v>724</v>
      </c>
      <c r="E95" s="59" t="s">
        <v>380</v>
      </c>
      <c r="F95" s="59" t="s">
        <v>269</v>
      </c>
      <c r="G95" s="59" t="s">
        <v>349</v>
      </c>
      <c r="H95" s="63" t="s">
        <v>725</v>
      </c>
      <c r="I95" s="69"/>
      <c r="J95" s="69"/>
      <c r="K95" s="69"/>
      <c r="L95" s="69"/>
      <c r="M95" s="69"/>
      <c r="N95" s="69"/>
      <c r="O95" s="68"/>
      <c r="P95" s="58" t="s">
        <v>726</v>
      </c>
    </row>
    <row r="96" spans="2:16">
      <c r="B96" s="61"/>
      <c r="C96" s="58" t="s">
        <v>727</v>
      </c>
      <c r="D96" s="59" t="s">
        <v>728</v>
      </c>
      <c r="E96" s="59" t="s">
        <v>380</v>
      </c>
      <c r="F96" s="59" t="s">
        <v>149</v>
      </c>
      <c r="G96" s="59" t="s">
        <v>349</v>
      </c>
      <c r="H96" s="63" t="s">
        <v>729</v>
      </c>
      <c r="I96" s="69"/>
      <c r="J96" s="69"/>
      <c r="K96" s="69"/>
      <c r="L96" s="69"/>
      <c r="M96" s="69"/>
      <c r="N96" s="69"/>
      <c r="O96" s="68"/>
      <c r="P96" s="58" t="s">
        <v>726</v>
      </c>
    </row>
    <row r="97" spans="2:16">
      <c r="B97" s="61"/>
      <c r="C97" s="58" t="s">
        <v>730</v>
      </c>
      <c r="D97" s="59" t="s">
        <v>731</v>
      </c>
      <c r="E97" s="59" t="s">
        <v>380</v>
      </c>
      <c r="F97" s="59" t="s">
        <v>106</v>
      </c>
      <c r="G97" s="59" t="s">
        <v>349</v>
      </c>
      <c r="H97" s="63" t="s">
        <v>546</v>
      </c>
      <c r="I97" s="69"/>
      <c r="J97" s="69"/>
      <c r="K97" s="69"/>
      <c r="L97" s="69"/>
      <c r="M97" s="69"/>
      <c r="N97" s="69"/>
      <c r="O97" s="68"/>
      <c r="P97" s="58" t="s">
        <v>732</v>
      </c>
    </row>
    <row r="98" spans="2:16">
      <c r="B98" s="61"/>
      <c r="C98" s="58" t="s">
        <v>733</v>
      </c>
      <c r="D98" s="59" t="s">
        <v>734</v>
      </c>
      <c r="E98" s="59" t="s">
        <v>380</v>
      </c>
      <c r="F98" s="59" t="s">
        <v>106</v>
      </c>
      <c r="G98" s="59" t="s">
        <v>349</v>
      </c>
      <c r="H98" s="63" t="s">
        <v>550</v>
      </c>
      <c r="I98" s="69"/>
      <c r="J98" s="69"/>
      <c r="K98" s="69"/>
      <c r="L98" s="69"/>
      <c r="M98" s="69"/>
      <c r="N98" s="69"/>
      <c r="O98" s="68"/>
      <c r="P98" s="58" t="s">
        <v>732</v>
      </c>
    </row>
    <row r="99" spans="2:16">
      <c r="B99" s="61"/>
      <c r="C99" s="58" t="s">
        <v>735</v>
      </c>
      <c r="D99" s="59" t="s">
        <v>736</v>
      </c>
      <c r="E99" s="59" t="s">
        <v>380</v>
      </c>
      <c r="F99" s="59" t="s">
        <v>106</v>
      </c>
      <c r="G99" s="59" t="s">
        <v>349</v>
      </c>
      <c r="H99" s="63" t="s">
        <v>554</v>
      </c>
      <c r="I99" s="69"/>
      <c r="J99" s="69"/>
      <c r="K99" s="69"/>
      <c r="L99" s="69"/>
      <c r="M99" s="69"/>
      <c r="N99" s="69"/>
      <c r="O99" s="68"/>
      <c r="P99" s="58" t="s">
        <v>732</v>
      </c>
    </row>
    <row r="100" spans="2:16">
      <c r="B100" s="61"/>
      <c r="C100" s="58" t="s">
        <v>737</v>
      </c>
      <c r="D100" s="59" t="s">
        <v>738</v>
      </c>
      <c r="E100" s="59" t="s">
        <v>380</v>
      </c>
      <c r="F100" s="59" t="s">
        <v>106</v>
      </c>
      <c r="G100" s="59" t="s">
        <v>349</v>
      </c>
      <c r="H100" s="63" t="s">
        <v>558</v>
      </c>
      <c r="I100" s="69"/>
      <c r="J100" s="69"/>
      <c r="K100" s="69"/>
      <c r="L100" s="69"/>
      <c r="M100" s="69"/>
      <c r="N100" s="69"/>
      <c r="O100" s="68"/>
      <c r="P100" s="58" t="s">
        <v>732</v>
      </c>
    </row>
    <row r="101" spans="2:16">
      <c r="B101" s="61"/>
      <c r="C101" s="58" t="s">
        <v>739</v>
      </c>
      <c r="D101" s="59" t="s">
        <v>740</v>
      </c>
      <c r="E101" s="59" t="s">
        <v>380</v>
      </c>
      <c r="F101" s="59" t="s">
        <v>106</v>
      </c>
      <c r="G101" s="59" t="s">
        <v>349</v>
      </c>
      <c r="H101" s="63" t="s">
        <v>562</v>
      </c>
      <c r="I101" s="69"/>
      <c r="J101" s="69"/>
      <c r="K101" s="69"/>
      <c r="L101" s="69"/>
      <c r="M101" s="69"/>
      <c r="N101" s="69"/>
      <c r="O101" s="68"/>
      <c r="P101" s="58" t="s">
        <v>732</v>
      </c>
    </row>
    <row r="102" spans="2:16">
      <c r="B102" s="61"/>
      <c r="C102" s="58" t="s">
        <v>741</v>
      </c>
      <c r="D102" s="59" t="s">
        <v>742</v>
      </c>
      <c r="E102" s="59" t="s">
        <v>380</v>
      </c>
      <c r="F102" s="59" t="s">
        <v>106</v>
      </c>
      <c r="G102" s="59" t="s">
        <v>349</v>
      </c>
      <c r="H102" s="63" t="s">
        <v>566</v>
      </c>
      <c r="I102" s="69"/>
      <c r="J102" s="69"/>
      <c r="K102" s="69"/>
      <c r="L102" s="69"/>
      <c r="M102" s="69"/>
      <c r="N102" s="69"/>
      <c r="O102" s="68"/>
      <c r="P102" s="58" t="s">
        <v>732</v>
      </c>
    </row>
    <row r="103" spans="2:16">
      <c r="B103" s="61"/>
      <c r="C103" s="58" t="s">
        <v>743</v>
      </c>
      <c r="D103" s="59" t="s">
        <v>744</v>
      </c>
      <c r="E103" s="59" t="s">
        <v>380</v>
      </c>
      <c r="F103" s="59" t="s">
        <v>106</v>
      </c>
      <c r="G103" s="59" t="s">
        <v>349</v>
      </c>
      <c r="H103" s="63" t="s">
        <v>570</v>
      </c>
      <c r="I103" s="69"/>
      <c r="J103" s="69"/>
      <c r="K103" s="69"/>
      <c r="L103" s="69"/>
      <c r="M103" s="69"/>
      <c r="N103" s="69"/>
      <c r="O103" s="68"/>
      <c r="P103" s="58" t="s">
        <v>732</v>
      </c>
    </row>
    <row r="104" spans="2:16">
      <c r="B104" s="64"/>
      <c r="C104" s="58" t="s">
        <v>745</v>
      </c>
      <c r="D104" s="59" t="s">
        <v>746</v>
      </c>
      <c r="E104" s="59" t="s">
        <v>380</v>
      </c>
      <c r="F104" s="59" t="s">
        <v>106</v>
      </c>
      <c r="G104" s="59" t="s">
        <v>349</v>
      </c>
      <c r="H104" s="63" t="s">
        <v>574</v>
      </c>
      <c r="I104" s="69"/>
      <c r="J104" s="69"/>
      <c r="K104" s="69"/>
      <c r="L104" s="69"/>
      <c r="M104" s="69"/>
      <c r="N104" s="69"/>
      <c r="O104" s="68"/>
      <c r="P104" s="58" t="s">
        <v>732</v>
      </c>
    </row>
    <row r="105" spans="2:16">
      <c r="B105" s="57" t="s">
        <v>747</v>
      </c>
      <c r="C105" s="58" t="s">
        <v>748</v>
      </c>
      <c r="D105" s="59" t="s">
        <v>749</v>
      </c>
      <c r="E105" s="59" t="s">
        <v>357</v>
      </c>
      <c r="F105" s="59" t="s">
        <v>106</v>
      </c>
      <c r="G105" s="59" t="s">
        <v>349</v>
      </c>
      <c r="H105" s="63" t="s">
        <v>750</v>
      </c>
      <c r="I105" s="69"/>
      <c r="J105" s="69"/>
      <c r="K105" s="68"/>
      <c r="L105" s="63" t="s">
        <v>751</v>
      </c>
      <c r="M105" s="69"/>
      <c r="N105" s="69"/>
      <c r="O105" s="68"/>
      <c r="P105" s="58" t="s">
        <v>752</v>
      </c>
    </row>
    <row r="106" spans="2:16">
      <c r="B106" s="61"/>
      <c r="C106" s="58" t="s">
        <v>753</v>
      </c>
      <c r="D106" s="59" t="s">
        <v>754</v>
      </c>
      <c r="E106" s="59" t="s">
        <v>357</v>
      </c>
      <c r="F106" s="59" t="s">
        <v>180</v>
      </c>
      <c r="G106" s="59" t="s">
        <v>349</v>
      </c>
      <c r="H106" s="63" t="s">
        <v>747</v>
      </c>
      <c r="I106" s="69"/>
      <c r="J106" s="69"/>
      <c r="K106" s="69"/>
      <c r="L106" s="69"/>
      <c r="M106" s="69"/>
      <c r="N106" s="69"/>
      <c r="O106" s="68"/>
      <c r="P106" s="58" t="s">
        <v>755</v>
      </c>
    </row>
    <row r="107" spans="2:16">
      <c r="B107" s="64"/>
      <c r="C107" s="58" t="s">
        <v>756</v>
      </c>
      <c r="D107" s="59" t="s">
        <v>757</v>
      </c>
      <c r="E107" s="59" t="s">
        <v>357</v>
      </c>
      <c r="F107" s="59" t="s">
        <v>758</v>
      </c>
      <c r="G107" s="59" t="s">
        <v>349</v>
      </c>
      <c r="H107" s="63" t="s">
        <v>747</v>
      </c>
      <c r="I107" s="69"/>
      <c r="J107" s="69"/>
      <c r="K107" s="69"/>
      <c r="L107" s="69"/>
      <c r="M107" s="69"/>
      <c r="N107" s="69"/>
      <c r="O107" s="68"/>
      <c r="P107" s="58" t="s">
        <v>759</v>
      </c>
    </row>
    <row r="109" spans="2:3">
      <c r="B109" s="74" t="s">
        <v>760</v>
      </c>
      <c r="C109" s="75"/>
    </row>
    <row r="110" spans="2:3">
      <c r="B110" s="74" t="s">
        <v>761</v>
      </c>
      <c r="C110" s="76"/>
    </row>
  </sheetData>
  <mergeCells count="170">
    <mergeCell ref="B1:O1"/>
    <mergeCell ref="H5:I5"/>
    <mergeCell ref="H7:I7"/>
    <mergeCell ref="H8:I8"/>
    <mergeCell ref="K8:O8"/>
    <mergeCell ref="H9:O9"/>
    <mergeCell ref="H10:K10"/>
    <mergeCell ref="L10:O10"/>
    <mergeCell ref="H11:J11"/>
    <mergeCell ref="L11:M11"/>
    <mergeCell ref="N11:O11"/>
    <mergeCell ref="H12:I12"/>
    <mergeCell ref="J12:O12"/>
    <mergeCell ref="H13:I13"/>
    <mergeCell ref="J13:O13"/>
    <mergeCell ref="H14:I14"/>
    <mergeCell ref="J14:O14"/>
    <mergeCell ref="H15:O15"/>
    <mergeCell ref="H16:K16"/>
    <mergeCell ref="L16:O16"/>
    <mergeCell ref="H17:I17"/>
    <mergeCell ref="J17:O17"/>
    <mergeCell ref="H18:I18"/>
    <mergeCell ref="J18:O18"/>
    <mergeCell ref="H19:K19"/>
    <mergeCell ref="L19:O19"/>
    <mergeCell ref="H20:O20"/>
    <mergeCell ref="H21:O21"/>
    <mergeCell ref="H22:O22"/>
    <mergeCell ref="H23:O23"/>
    <mergeCell ref="H24:O24"/>
    <mergeCell ref="H25:O25"/>
    <mergeCell ref="H26:O26"/>
    <mergeCell ref="H27:O27"/>
    <mergeCell ref="H28:L28"/>
    <mergeCell ref="H29:I29"/>
    <mergeCell ref="J29:K29"/>
    <mergeCell ref="L29:M29"/>
    <mergeCell ref="N29:O29"/>
    <mergeCell ref="H30:J30"/>
    <mergeCell ref="K30:O30"/>
    <mergeCell ref="H31:O31"/>
    <mergeCell ref="H32:K32"/>
    <mergeCell ref="L32:M32"/>
    <mergeCell ref="H33:O33"/>
    <mergeCell ref="H34:K34"/>
    <mergeCell ref="L34:O34"/>
    <mergeCell ref="I35:O35"/>
    <mergeCell ref="H36:O36"/>
    <mergeCell ref="H37:O37"/>
    <mergeCell ref="H38:K38"/>
    <mergeCell ref="L38:O38"/>
    <mergeCell ref="H39:O39"/>
    <mergeCell ref="H40:K40"/>
    <mergeCell ref="L40:O40"/>
    <mergeCell ref="H41:K41"/>
    <mergeCell ref="L41:O41"/>
    <mergeCell ref="H42:I42"/>
    <mergeCell ref="H43:J43"/>
    <mergeCell ref="H44:J44"/>
    <mergeCell ref="N44:O44"/>
    <mergeCell ref="H45:I45"/>
    <mergeCell ref="K45:O45"/>
    <mergeCell ref="H46:I46"/>
    <mergeCell ref="J46:K46"/>
    <mergeCell ref="L46:M46"/>
    <mergeCell ref="N46:O46"/>
    <mergeCell ref="H47:I47"/>
    <mergeCell ref="J47:K47"/>
    <mergeCell ref="L47:M47"/>
    <mergeCell ref="N47:O47"/>
    <mergeCell ref="H48:I48"/>
    <mergeCell ref="J48:K48"/>
    <mergeCell ref="L48:M48"/>
    <mergeCell ref="N48:O48"/>
    <mergeCell ref="H49:M49"/>
    <mergeCell ref="N49:O49"/>
    <mergeCell ref="I50:K50"/>
    <mergeCell ref="M50:O50"/>
    <mergeCell ref="I51:K51"/>
    <mergeCell ref="M51:O51"/>
    <mergeCell ref="I52:K52"/>
    <mergeCell ref="M52:O52"/>
    <mergeCell ref="I53:K53"/>
    <mergeCell ref="M53:O53"/>
    <mergeCell ref="H54:L54"/>
    <mergeCell ref="M54:O54"/>
    <mergeCell ref="I55:O55"/>
    <mergeCell ref="H56:N56"/>
    <mergeCell ref="H57:K57"/>
    <mergeCell ref="L57:O57"/>
    <mergeCell ref="H58:M58"/>
    <mergeCell ref="H59:O59"/>
    <mergeCell ref="H60:I60"/>
    <mergeCell ref="J60:L60"/>
    <mergeCell ref="M60:O60"/>
    <mergeCell ref="H61:O61"/>
    <mergeCell ref="H62:O62"/>
    <mergeCell ref="H63:O63"/>
    <mergeCell ref="H64:O64"/>
    <mergeCell ref="H65:O65"/>
    <mergeCell ref="H66:O66"/>
    <mergeCell ref="H67:O67"/>
    <mergeCell ref="H68:O68"/>
    <mergeCell ref="J69:K69"/>
    <mergeCell ref="L69:N69"/>
    <mergeCell ref="I70:O70"/>
    <mergeCell ref="H71:N71"/>
    <mergeCell ref="I72:O72"/>
    <mergeCell ref="I73:O73"/>
    <mergeCell ref="H74:I74"/>
    <mergeCell ref="J74:K74"/>
    <mergeCell ref="L74:M74"/>
    <mergeCell ref="N74:O74"/>
    <mergeCell ref="H75:O75"/>
    <mergeCell ref="H76:O76"/>
    <mergeCell ref="H79:L79"/>
    <mergeCell ref="H80:M80"/>
    <mergeCell ref="H81:I81"/>
    <mergeCell ref="J81:K81"/>
    <mergeCell ref="L81:M81"/>
    <mergeCell ref="N81:O81"/>
    <mergeCell ref="H82:I82"/>
    <mergeCell ref="J82:K82"/>
    <mergeCell ref="L82:M82"/>
    <mergeCell ref="N82:O82"/>
    <mergeCell ref="H83:I83"/>
    <mergeCell ref="J83:K83"/>
    <mergeCell ref="L83:M83"/>
    <mergeCell ref="N83:O83"/>
    <mergeCell ref="H84:I84"/>
    <mergeCell ref="J84:K84"/>
    <mergeCell ref="L84:M84"/>
    <mergeCell ref="N84:O84"/>
    <mergeCell ref="H85:M85"/>
    <mergeCell ref="H86:I86"/>
    <mergeCell ref="K86:O86"/>
    <mergeCell ref="H87:N87"/>
    <mergeCell ref="I88:K88"/>
    <mergeCell ref="H89:J89"/>
    <mergeCell ref="L89:M89"/>
    <mergeCell ref="N89:O89"/>
    <mergeCell ref="I90:O90"/>
    <mergeCell ref="J91:K91"/>
    <mergeCell ref="J92:K92"/>
    <mergeCell ref="J93:K93"/>
    <mergeCell ref="L93:N93"/>
    <mergeCell ref="H94:N94"/>
    <mergeCell ref="H95:O95"/>
    <mergeCell ref="H96:O96"/>
    <mergeCell ref="H97:O97"/>
    <mergeCell ref="H98:O98"/>
    <mergeCell ref="H99:O99"/>
    <mergeCell ref="H100:O100"/>
    <mergeCell ref="H101:O101"/>
    <mergeCell ref="H102:O102"/>
    <mergeCell ref="H103:O103"/>
    <mergeCell ref="H104:O104"/>
    <mergeCell ref="H105:K105"/>
    <mergeCell ref="L105:O105"/>
    <mergeCell ref="H106:O106"/>
    <mergeCell ref="H107:O107"/>
    <mergeCell ref="B4:B11"/>
    <mergeCell ref="B12:B20"/>
    <mergeCell ref="B21:B31"/>
    <mergeCell ref="B32:B58"/>
    <mergeCell ref="B60:B68"/>
    <mergeCell ref="B69:B88"/>
    <mergeCell ref="B89:B104"/>
    <mergeCell ref="B105:B107"/>
  </mergeCells>
  <pageMargins left="0.7" right="0.7" top="0.75" bottom="0.75" header="0.3" footer="0.3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62"/>
  <dimension ref="C2:X23"/>
  <sheetViews>
    <sheetView workbookViewId="0">
      <selection activeCell="O22" sqref="O22:X22"/>
    </sheetView>
  </sheetViews>
  <sheetFormatPr defaultColWidth="9" defaultRowHeight="14.4"/>
  <cols>
    <col min="1" max="1" width="2.85185185185185" customWidth="1"/>
    <col min="2" max="2" width="3" customWidth="1"/>
  </cols>
  <sheetData>
    <row r="2" ht="15.15"/>
    <row r="3" spans="3:18">
      <c r="C3" s="40"/>
      <c r="D3" s="41"/>
      <c r="E3" s="41"/>
      <c r="F3" s="41"/>
      <c r="G3" s="41"/>
      <c r="H3" s="42"/>
      <c r="M3" s="50"/>
      <c r="N3" s="50"/>
      <c r="O3" s="50"/>
      <c r="P3" s="50"/>
      <c r="Q3" s="50"/>
      <c r="R3" s="50"/>
    </row>
    <row r="4" spans="3:18">
      <c r="C4" s="43"/>
      <c r="D4" s="44"/>
      <c r="E4" s="44"/>
      <c r="F4" s="44"/>
      <c r="G4" s="44"/>
      <c r="H4" s="45"/>
      <c r="M4" s="50"/>
      <c r="N4" s="50"/>
      <c r="O4" s="50"/>
      <c r="P4" s="50"/>
      <c r="Q4" s="50"/>
      <c r="R4" s="50"/>
    </row>
    <row r="5" spans="3:18">
      <c r="C5" s="43"/>
      <c r="D5" s="44"/>
      <c r="E5" s="44"/>
      <c r="F5" s="44"/>
      <c r="G5" s="44"/>
      <c r="H5" s="45"/>
      <c r="M5" s="50"/>
      <c r="N5" s="50"/>
      <c r="O5" s="50"/>
      <c r="P5" s="50"/>
      <c r="Q5" s="50"/>
      <c r="R5" s="50"/>
    </row>
    <row r="6" spans="3:18">
      <c r="C6" s="43"/>
      <c r="D6" s="44"/>
      <c r="E6" s="44"/>
      <c r="F6" s="44"/>
      <c r="G6" s="44"/>
      <c r="H6" s="45"/>
      <c r="M6" s="50"/>
      <c r="N6" s="50"/>
      <c r="O6" s="50"/>
      <c r="P6" s="50"/>
      <c r="Q6" s="50"/>
      <c r="R6" s="50"/>
    </row>
    <row r="7" spans="3:18">
      <c r="C7" s="43"/>
      <c r="D7" s="44"/>
      <c r="E7" s="44"/>
      <c r="F7" s="44"/>
      <c r="G7" s="44"/>
      <c r="H7" s="45"/>
      <c r="M7" s="50"/>
      <c r="N7" s="50"/>
      <c r="O7" s="50"/>
      <c r="P7" s="50"/>
      <c r="Q7" s="50"/>
      <c r="R7" s="50"/>
    </row>
    <row r="8" ht="15.15" spans="3:18">
      <c r="C8" s="46"/>
      <c r="D8" s="47"/>
      <c r="E8" s="47"/>
      <c r="F8" s="47"/>
      <c r="G8" s="47"/>
      <c r="H8" s="48"/>
      <c r="M8" s="50"/>
      <c r="N8" s="50"/>
      <c r="O8" s="50"/>
      <c r="P8" s="50"/>
      <c r="Q8" s="50"/>
      <c r="R8" s="50"/>
    </row>
    <row r="9" ht="15.15"/>
    <row r="10" ht="15.15" spans="13:24">
      <c r="M10" s="51" t="s">
        <v>763</v>
      </c>
      <c r="N10" s="52"/>
      <c r="O10" s="53" t="s">
        <v>764</v>
      </c>
      <c r="P10" s="54"/>
      <c r="Q10" s="54"/>
      <c r="R10" s="54"/>
      <c r="S10" s="54"/>
      <c r="T10" s="54"/>
      <c r="U10" s="54"/>
      <c r="V10" s="54"/>
      <c r="W10" s="54"/>
      <c r="X10" s="55"/>
    </row>
    <row r="11" ht="15.15" spans="3:24">
      <c r="C11" t="s">
        <v>765</v>
      </c>
      <c r="D11" s="9" t="s">
        <v>766</v>
      </c>
      <c r="E11" s="9"/>
      <c r="F11" s="9"/>
      <c r="G11" s="9"/>
      <c r="H11" s="9"/>
      <c r="I11" s="9"/>
      <c r="J11" s="9"/>
      <c r="O11" s="53" t="s">
        <v>767</v>
      </c>
      <c r="P11" s="54"/>
      <c r="Q11" s="54"/>
      <c r="R11" s="54"/>
      <c r="S11" s="54"/>
      <c r="T11" s="54"/>
      <c r="U11" s="54"/>
      <c r="V11" s="54"/>
      <c r="W11" s="54"/>
      <c r="X11" s="55"/>
    </row>
    <row r="12" spans="4:10">
      <c r="D12" s="9" t="s">
        <v>768</v>
      </c>
      <c r="E12" s="9"/>
      <c r="F12" s="9"/>
      <c r="G12" s="9"/>
      <c r="H12" s="9"/>
      <c r="I12" s="9"/>
      <c r="J12" s="9"/>
    </row>
    <row r="14" spans="3:10">
      <c r="C14" t="s">
        <v>769</v>
      </c>
      <c r="D14" s="9" t="s">
        <v>770</v>
      </c>
      <c r="E14" s="9"/>
      <c r="F14" s="9"/>
      <c r="G14" s="9"/>
      <c r="H14" s="9"/>
      <c r="I14" s="9"/>
      <c r="J14" s="9"/>
    </row>
    <row r="15" spans="4:18">
      <c r="D15" s="9" t="s">
        <v>771</v>
      </c>
      <c r="E15" s="9"/>
      <c r="F15" s="9"/>
      <c r="G15" s="9"/>
      <c r="H15" s="9"/>
      <c r="I15" s="9"/>
      <c r="J15" s="9"/>
      <c r="M15" s="50"/>
      <c r="N15" s="50"/>
      <c r="O15" s="50"/>
      <c r="P15" s="50"/>
      <c r="Q15" s="50"/>
      <c r="R15" s="50"/>
    </row>
    <row r="16" spans="13:18">
      <c r="M16" s="50"/>
      <c r="N16" s="50"/>
      <c r="O16" s="50"/>
      <c r="P16" s="50"/>
      <c r="Q16" s="50"/>
      <c r="R16" s="50"/>
    </row>
    <row r="17" spans="3:18">
      <c r="C17" t="s">
        <v>772</v>
      </c>
      <c r="D17" s="9" t="s">
        <v>773</v>
      </c>
      <c r="E17" s="9"/>
      <c r="F17" s="9"/>
      <c r="G17" s="9"/>
      <c r="H17" s="9"/>
      <c r="I17" s="9"/>
      <c r="J17" s="9"/>
      <c r="M17" s="50"/>
      <c r="N17" s="50"/>
      <c r="O17" s="50"/>
      <c r="P17" s="50"/>
      <c r="Q17" s="50"/>
      <c r="R17" s="50"/>
    </row>
    <row r="18" spans="4:18">
      <c r="D18" s="9" t="s">
        <v>774</v>
      </c>
      <c r="E18" s="9"/>
      <c r="F18" s="9"/>
      <c r="G18" s="9"/>
      <c r="H18" s="9"/>
      <c r="I18" s="9"/>
      <c r="J18" s="9"/>
      <c r="M18" s="50"/>
      <c r="N18" s="50"/>
      <c r="O18" s="50"/>
      <c r="P18" s="50"/>
      <c r="Q18" s="50"/>
      <c r="R18" s="50"/>
    </row>
    <row r="19" spans="13:18">
      <c r="M19" s="50"/>
      <c r="N19" s="50"/>
      <c r="O19" s="50"/>
      <c r="P19" s="50"/>
      <c r="Q19" s="50"/>
      <c r="R19" s="50"/>
    </row>
    <row r="20" spans="3:18">
      <c r="C20" t="s">
        <v>775</v>
      </c>
      <c r="D20" s="9" t="s">
        <v>776</v>
      </c>
      <c r="E20" s="9"/>
      <c r="F20" s="9"/>
      <c r="G20" s="9"/>
      <c r="H20" s="9"/>
      <c r="I20" s="9"/>
      <c r="J20" s="9"/>
      <c r="M20" s="50"/>
      <c r="N20" s="50"/>
      <c r="O20" s="50"/>
      <c r="P20" s="50"/>
      <c r="Q20" s="50"/>
      <c r="R20" s="50"/>
    </row>
    <row r="21" ht="15.15" spans="4:10">
      <c r="D21" s="9" t="s">
        <v>777</v>
      </c>
      <c r="E21" s="9"/>
      <c r="F21" s="9"/>
      <c r="G21" s="9"/>
      <c r="H21" s="9"/>
      <c r="I21" s="9"/>
      <c r="J21" s="9"/>
    </row>
    <row r="22" ht="15.15" spans="13:24">
      <c r="M22" s="51" t="s">
        <v>763</v>
      </c>
      <c r="N22" s="52"/>
      <c r="O22" s="53" t="s">
        <v>778</v>
      </c>
      <c r="P22" s="54"/>
      <c r="Q22" s="54"/>
      <c r="R22" s="54"/>
      <c r="S22" s="54"/>
      <c r="T22" s="54"/>
      <c r="U22" s="54"/>
      <c r="V22" s="54"/>
      <c r="W22" s="54"/>
      <c r="X22" s="55"/>
    </row>
    <row r="23" ht="30.75" customHeight="1" spans="3:24">
      <c r="C23" s="49" t="s">
        <v>779</v>
      </c>
      <c r="D23" s="49"/>
      <c r="E23" s="49"/>
      <c r="F23" s="49"/>
      <c r="G23" s="49"/>
      <c r="H23" s="49"/>
      <c r="I23" s="49"/>
      <c r="J23" s="49"/>
      <c r="O23" s="53" t="s">
        <v>780</v>
      </c>
      <c r="P23" s="54"/>
      <c r="Q23" s="54"/>
      <c r="R23" s="54"/>
      <c r="S23" s="54"/>
      <c r="T23" s="54"/>
      <c r="U23" s="54"/>
      <c r="V23" s="54"/>
      <c r="W23" s="54"/>
      <c r="X23" s="55"/>
    </row>
  </sheetData>
  <mergeCells count="15">
    <mergeCell ref="M10:N10"/>
    <mergeCell ref="O10:X10"/>
    <mergeCell ref="D11:J11"/>
    <mergeCell ref="O11:X11"/>
    <mergeCell ref="D12:J12"/>
    <mergeCell ref="D14:J14"/>
    <mergeCell ref="D15:J15"/>
    <mergeCell ref="D17:J17"/>
    <mergeCell ref="D18:J18"/>
    <mergeCell ref="D20:J20"/>
    <mergeCell ref="D21:J21"/>
    <mergeCell ref="M22:N22"/>
    <mergeCell ref="O22:X22"/>
    <mergeCell ref="C23:J23"/>
    <mergeCell ref="O23:X23"/>
  </mergeCells>
  <pageMargins left="0.7" right="0.7" top="0.75" bottom="0.75" header="0.3" footer="0.3"/>
  <pageSetup paperSize="1" orientation="portrait" horizontalDpi="90" verticalDpi="9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2273" name="Button 1" r:id="rId3">
              <controlPr print="0" defaultSize="0">
                <anchor moveWithCells="1">
                  <from>
                    <xdr:col>2</xdr:col>
                    <xdr:colOff>304800</xdr:colOff>
                    <xdr:row>4</xdr:row>
                    <xdr:rowOff>0</xdr:rowOff>
                  </from>
                  <to>
                    <xdr:col>7</xdr:col>
                    <xdr:colOff>352425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77" name="Button 5" r:id="rId4">
              <controlPr print="0" defaultSize="0">
                <anchor moveWithCells="1">
                  <from>
                    <xdr:col>12</xdr:col>
                    <xdr:colOff>304800</xdr:colOff>
                    <xdr:row>4</xdr:row>
                    <xdr:rowOff>0</xdr:rowOff>
                  </from>
                  <to>
                    <xdr:col>17</xdr:col>
                    <xdr:colOff>352425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80" name="Button 8" r:id="rId5">
              <controlPr print="0" defaultSize="0">
                <anchor moveWithCells="1">
                  <from>
                    <xdr:col>12</xdr:col>
                    <xdr:colOff>304800</xdr:colOff>
                    <xdr:row>16</xdr:row>
                    <xdr:rowOff>0</xdr:rowOff>
                  </from>
                  <to>
                    <xdr:col>17</xdr:col>
                    <xdr:colOff>352425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:C11"/>
  <sheetViews>
    <sheetView workbookViewId="0">
      <selection activeCell="C8" sqref="C8"/>
    </sheetView>
  </sheetViews>
  <sheetFormatPr defaultColWidth="9" defaultRowHeight="14.4" outlineLevelCol="2"/>
  <cols>
    <col min="1" max="1" width="2.71296296296296" customWidth="1"/>
    <col min="2" max="2" width="14.8518518518519" customWidth="1"/>
    <col min="3" max="3" width="18.287037037037" customWidth="1"/>
    <col min="4" max="4" width="19.4259259259259" customWidth="1"/>
  </cols>
  <sheetData>
    <row r="1" ht="15.15"/>
    <row r="2" spans="2:3">
      <c r="B2" s="32" t="s">
        <v>781</v>
      </c>
      <c r="C2" s="33" t="s">
        <v>782</v>
      </c>
    </row>
    <row r="3" spans="2:3">
      <c r="B3" s="34" t="s">
        <v>783</v>
      </c>
      <c r="C3" s="35">
        <v>128</v>
      </c>
    </row>
    <row r="4" spans="2:3">
      <c r="B4" s="34" t="s">
        <v>784</v>
      </c>
      <c r="C4" s="35">
        <v>8</v>
      </c>
    </row>
    <row r="5" spans="2:3">
      <c r="B5" s="34" t="s">
        <v>785</v>
      </c>
      <c r="C5" s="36">
        <f>C3*C4</f>
        <v>1024</v>
      </c>
    </row>
    <row r="6" ht="15.15" spans="2:3">
      <c r="B6" s="34" t="s">
        <v>786</v>
      </c>
      <c r="C6" s="36">
        <f>C5/64</f>
        <v>16</v>
      </c>
    </row>
    <row r="7" spans="2:3">
      <c r="B7" s="32" t="s">
        <v>787</v>
      </c>
      <c r="C7" s="33">
        <v>5</v>
      </c>
    </row>
    <row r="8" spans="2:3">
      <c r="B8" s="34" t="s">
        <v>788</v>
      </c>
      <c r="C8" s="37">
        <f>C7*64</f>
        <v>320</v>
      </c>
    </row>
    <row r="9" spans="2:3">
      <c r="B9" s="34" t="s">
        <v>789</v>
      </c>
      <c r="C9" s="37">
        <f>C7*57</f>
        <v>285</v>
      </c>
    </row>
    <row r="10" spans="2:3">
      <c r="B10" s="34" t="s">
        <v>790</v>
      </c>
      <c r="C10" s="36">
        <f>TRUNC($C$5/$C$8,0)</f>
        <v>3</v>
      </c>
    </row>
    <row r="11" ht="15.15" spans="2:3">
      <c r="B11" s="38" t="s">
        <v>791</v>
      </c>
      <c r="C11" s="39">
        <f>$C$6-($C$10*$C$7)</f>
        <v>1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B2:E3"/>
  <sheetViews>
    <sheetView workbookViewId="0">
      <selection activeCell="E14" sqref="E14"/>
    </sheetView>
  </sheetViews>
  <sheetFormatPr defaultColWidth="9" defaultRowHeight="14.4" outlineLevelRow="2" outlineLevelCol="4"/>
  <cols>
    <col min="1" max="1" width="2.85185185185185" customWidth="1"/>
    <col min="2" max="2" width="9.13888888888889" customWidth="1"/>
    <col min="3" max="3" width="10.287037037037" customWidth="1"/>
    <col min="4" max="4" width="12.8518518518519" customWidth="1"/>
    <col min="5" max="5" width="34.1388888888889" customWidth="1"/>
  </cols>
  <sheetData>
    <row r="2" spans="2:5">
      <c r="B2" s="8" t="s">
        <v>792</v>
      </c>
      <c r="C2" s="8" t="s">
        <v>793</v>
      </c>
      <c r="D2" s="8" t="s">
        <v>794</v>
      </c>
      <c r="E2" s="8" t="s">
        <v>795</v>
      </c>
    </row>
    <row r="3" spans="2:5">
      <c r="B3" s="23">
        <v>0</v>
      </c>
      <c r="C3" s="23">
        <v>256</v>
      </c>
      <c r="D3" s="23" t="s">
        <v>796</v>
      </c>
      <c r="E3" t="s">
        <v>797</v>
      </c>
    </row>
  </sheetData>
  <pageMargins left="0.7" right="0.7" top="0.75" bottom="0.75" header="0.3" footer="0.3"/>
  <headerFooter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I107"/>
  <sheetViews>
    <sheetView topLeftCell="A19" workbookViewId="0">
      <selection activeCell="M52" sqref="M52"/>
    </sheetView>
  </sheetViews>
  <sheetFormatPr defaultColWidth="9" defaultRowHeight="14.4"/>
  <cols>
    <col min="1" max="1" width="2.57407407407407" customWidth="1"/>
    <col min="2" max="2" width="18.8518518518519" customWidth="1"/>
    <col min="3" max="4" width="10.712962962963" customWidth="1"/>
    <col min="5" max="5" width="10.1388888888889" customWidth="1"/>
    <col min="6" max="6" width="24.4259259259259" customWidth="1"/>
    <col min="7" max="7" width="31.8518518518519" customWidth="1"/>
    <col min="8" max="8" width="12.8518518518519" style="23" customWidth="1"/>
    <col min="9" max="9" width="16.712962962963" customWidth="1"/>
  </cols>
  <sheetData>
    <row r="2" spans="2:9">
      <c r="B2" s="24" t="s">
        <v>798</v>
      </c>
      <c r="C2" s="25" t="s">
        <v>799</v>
      </c>
      <c r="D2" s="26" t="s">
        <v>800</v>
      </c>
      <c r="E2" s="24" t="s">
        <v>341</v>
      </c>
      <c r="F2" s="24" t="s">
        <v>338</v>
      </c>
      <c r="G2" s="27" t="s">
        <v>801</v>
      </c>
      <c r="H2" s="27" t="s">
        <v>794</v>
      </c>
      <c r="I2" s="27" t="s">
        <v>802</v>
      </c>
    </row>
    <row r="3" spans="2:9">
      <c r="B3" s="14" t="s">
        <v>346</v>
      </c>
      <c r="C3" s="15">
        <v>0</v>
      </c>
      <c r="D3" s="28" t="str">
        <f>DEC2HEX(C3,2)</f>
        <v>00</v>
      </c>
      <c r="E3" s="29" t="s">
        <v>348</v>
      </c>
      <c r="F3" s="29" t="s">
        <v>345</v>
      </c>
      <c r="G3" s="16" t="s">
        <v>352</v>
      </c>
      <c r="H3" s="30" t="s">
        <v>796</v>
      </c>
      <c r="I3" s="30" t="s">
        <v>803</v>
      </c>
    </row>
    <row r="4" spans="2:9">
      <c r="B4" s="14" t="s">
        <v>353</v>
      </c>
      <c r="C4" s="15">
        <v>1</v>
      </c>
      <c r="D4" s="28" t="str">
        <f>DEC2HEX(C4,2)</f>
        <v>01</v>
      </c>
      <c r="E4" s="29" t="s">
        <v>348</v>
      </c>
      <c r="F4" s="29" t="s">
        <v>345</v>
      </c>
      <c r="G4" s="16" t="s">
        <v>352</v>
      </c>
      <c r="H4" s="30" t="s">
        <v>796</v>
      </c>
      <c r="I4" s="30" t="s">
        <v>803</v>
      </c>
    </row>
    <row r="5" spans="2:9">
      <c r="B5" s="14" t="s">
        <v>355</v>
      </c>
      <c r="C5" s="15">
        <v>4</v>
      </c>
      <c r="D5" s="28" t="str">
        <f t="shared" ref="D5:D107" si="0">DEC2HEX(C5,2)</f>
        <v>04</v>
      </c>
      <c r="E5" s="29" t="s">
        <v>357</v>
      </c>
      <c r="F5" s="29" t="s">
        <v>345</v>
      </c>
      <c r="G5" s="16" t="s">
        <v>358</v>
      </c>
      <c r="H5" s="30" t="s">
        <v>796</v>
      </c>
      <c r="I5" s="30" t="s">
        <v>804</v>
      </c>
    </row>
    <row r="6" spans="2:9">
      <c r="B6" s="14" t="s">
        <v>359</v>
      </c>
      <c r="C6" s="15">
        <v>5</v>
      </c>
      <c r="D6" s="28" t="str">
        <f t="shared" ref="D6:D11" si="1">DEC2HEX(C6,2)</f>
        <v>05</v>
      </c>
      <c r="E6" s="29" t="s">
        <v>357</v>
      </c>
      <c r="F6" s="29" t="s">
        <v>345</v>
      </c>
      <c r="G6" s="16" t="s">
        <v>358</v>
      </c>
      <c r="H6" s="30" t="s">
        <v>796</v>
      </c>
      <c r="I6" s="30" t="s">
        <v>804</v>
      </c>
    </row>
    <row r="7" spans="2:9">
      <c r="B7" s="14" t="s">
        <v>361</v>
      </c>
      <c r="C7" s="15">
        <v>8</v>
      </c>
      <c r="D7" s="28" t="str">
        <f t="shared" si="1"/>
        <v>08</v>
      </c>
      <c r="E7" s="29" t="s">
        <v>357</v>
      </c>
      <c r="F7" s="29" t="s">
        <v>345</v>
      </c>
      <c r="G7" s="16" t="s">
        <v>365</v>
      </c>
      <c r="H7" s="30" t="s">
        <v>796</v>
      </c>
      <c r="I7" s="30" t="s">
        <v>804</v>
      </c>
    </row>
    <row r="8" spans="2:9">
      <c r="B8" s="14" t="s">
        <v>366</v>
      </c>
      <c r="C8" s="15">
        <v>9</v>
      </c>
      <c r="D8" s="28" t="str">
        <f t="shared" si="1"/>
        <v>09</v>
      </c>
      <c r="E8" s="29" t="s">
        <v>357</v>
      </c>
      <c r="F8" s="29" t="s">
        <v>345</v>
      </c>
      <c r="G8" s="16" t="s">
        <v>368</v>
      </c>
      <c r="H8" s="30" t="s">
        <v>796</v>
      </c>
      <c r="I8" s="30" t="s">
        <v>804</v>
      </c>
    </row>
    <row r="9" spans="2:9">
      <c r="B9" s="14" t="s">
        <v>369</v>
      </c>
      <c r="C9" s="15">
        <v>10</v>
      </c>
      <c r="D9" s="28" t="str">
        <f t="shared" si="1"/>
        <v>0A</v>
      </c>
      <c r="E9" s="29" t="s">
        <v>357</v>
      </c>
      <c r="F9" s="29" t="s">
        <v>345</v>
      </c>
      <c r="G9" s="16" t="s">
        <v>371</v>
      </c>
      <c r="H9" s="30" t="s">
        <v>796</v>
      </c>
      <c r="I9" s="30" t="s">
        <v>804</v>
      </c>
    </row>
    <row r="10" spans="2:9">
      <c r="B10" s="14" t="s">
        <v>372</v>
      </c>
      <c r="C10" s="15">
        <v>11</v>
      </c>
      <c r="D10" s="28" t="str">
        <f t="shared" si="1"/>
        <v>0B</v>
      </c>
      <c r="E10" s="29" t="s">
        <v>357</v>
      </c>
      <c r="F10" s="29" t="s">
        <v>345</v>
      </c>
      <c r="G10" s="16" t="s">
        <v>376</v>
      </c>
      <c r="H10" s="30" t="s">
        <v>796</v>
      </c>
      <c r="I10" s="30" t="s">
        <v>804</v>
      </c>
    </row>
    <row r="11" spans="2:9">
      <c r="B11" s="14" t="s">
        <v>378</v>
      </c>
      <c r="C11" s="15">
        <v>16</v>
      </c>
      <c r="D11" s="28" t="str">
        <f t="shared" si="1"/>
        <v>10</v>
      </c>
      <c r="E11" s="29" t="s">
        <v>380</v>
      </c>
      <c r="F11" s="29" t="s">
        <v>377</v>
      </c>
      <c r="G11" s="16" t="s">
        <v>381</v>
      </c>
      <c r="H11" s="30" t="s">
        <v>796</v>
      </c>
      <c r="I11" s="30" t="s">
        <v>805</v>
      </c>
    </row>
    <row r="12" spans="2:9">
      <c r="B12" s="14" t="s">
        <v>806</v>
      </c>
      <c r="C12" s="15">
        <v>17</v>
      </c>
      <c r="D12" s="28" t="str">
        <f t="shared" ref="D12:D13" si="2">DEC2HEX(C12,2)</f>
        <v>11</v>
      </c>
      <c r="E12" s="29" t="s">
        <v>380</v>
      </c>
      <c r="F12" s="29" t="s">
        <v>377</v>
      </c>
      <c r="G12" s="16" t="s">
        <v>807</v>
      </c>
      <c r="H12" s="30" t="s">
        <v>796</v>
      </c>
      <c r="I12" s="30" t="s">
        <v>805</v>
      </c>
    </row>
    <row r="13" spans="2:9">
      <c r="B13" s="14" t="s">
        <v>382</v>
      </c>
      <c r="C13" s="15">
        <v>18</v>
      </c>
      <c r="D13" s="28" t="str">
        <f t="shared" si="2"/>
        <v>12</v>
      </c>
      <c r="E13" s="29" t="s">
        <v>380</v>
      </c>
      <c r="F13" s="29" t="s">
        <v>377</v>
      </c>
      <c r="G13" s="16" t="s">
        <v>384</v>
      </c>
      <c r="H13" s="30" t="s">
        <v>796</v>
      </c>
      <c r="I13" s="30" t="s">
        <v>805</v>
      </c>
    </row>
    <row r="14" spans="2:9">
      <c r="B14" s="14" t="s">
        <v>385</v>
      </c>
      <c r="C14" s="15">
        <v>19</v>
      </c>
      <c r="D14" s="28" t="str">
        <f t="shared" ref="D14:D21" si="3">DEC2HEX(C14,2)</f>
        <v>13</v>
      </c>
      <c r="E14" s="29" t="s">
        <v>380</v>
      </c>
      <c r="F14" s="29" t="s">
        <v>377</v>
      </c>
      <c r="G14" s="16" t="s">
        <v>387</v>
      </c>
      <c r="H14" s="30" t="s">
        <v>796</v>
      </c>
      <c r="I14" s="30" t="s">
        <v>805</v>
      </c>
    </row>
    <row r="15" spans="2:9">
      <c r="B15" s="14" t="s">
        <v>388</v>
      </c>
      <c r="C15" s="15">
        <v>20</v>
      </c>
      <c r="D15" s="28" t="str">
        <f t="shared" si="3"/>
        <v>14</v>
      </c>
      <c r="E15" s="29" t="s">
        <v>380</v>
      </c>
      <c r="F15" s="29" t="s">
        <v>377</v>
      </c>
      <c r="G15" s="16" t="s">
        <v>390</v>
      </c>
      <c r="H15" s="30" t="s">
        <v>796</v>
      </c>
      <c r="I15" s="30" t="s">
        <v>805</v>
      </c>
    </row>
    <row r="16" spans="2:9">
      <c r="B16" s="14" t="s">
        <v>391</v>
      </c>
      <c r="C16" s="15">
        <v>21</v>
      </c>
      <c r="D16" s="28" t="str">
        <f t="shared" si="3"/>
        <v>15</v>
      </c>
      <c r="E16" s="29" t="s">
        <v>380</v>
      </c>
      <c r="F16" s="29" t="s">
        <v>377</v>
      </c>
      <c r="G16" s="16" t="s">
        <v>393</v>
      </c>
      <c r="H16" s="30" t="s">
        <v>796</v>
      </c>
      <c r="I16" s="30" t="s">
        <v>805</v>
      </c>
    </row>
    <row r="17" spans="2:9">
      <c r="B17" s="14" t="s">
        <v>394</v>
      </c>
      <c r="C17" s="15">
        <v>22</v>
      </c>
      <c r="D17" s="28" t="str">
        <f t="shared" si="3"/>
        <v>16</v>
      </c>
      <c r="E17" s="29" t="s">
        <v>380</v>
      </c>
      <c r="F17" s="29" t="s">
        <v>377</v>
      </c>
      <c r="G17" s="16" t="s">
        <v>396</v>
      </c>
      <c r="H17" s="30" t="s">
        <v>796</v>
      </c>
      <c r="I17" s="30" t="s">
        <v>805</v>
      </c>
    </row>
    <row r="18" spans="2:9">
      <c r="B18" s="14" t="s">
        <v>397</v>
      </c>
      <c r="C18" s="15">
        <v>23</v>
      </c>
      <c r="D18" s="28" t="str">
        <f t="shared" si="3"/>
        <v>17</v>
      </c>
      <c r="E18" s="29" t="s">
        <v>380</v>
      </c>
      <c r="F18" s="29" t="s">
        <v>377</v>
      </c>
      <c r="G18" s="16" t="s">
        <v>399</v>
      </c>
      <c r="H18" s="30" t="s">
        <v>796</v>
      </c>
      <c r="I18" s="30" t="s">
        <v>805</v>
      </c>
    </row>
    <row r="19" spans="2:9">
      <c r="B19" s="14" t="s">
        <v>400</v>
      </c>
      <c r="C19" s="15">
        <v>24</v>
      </c>
      <c r="D19" s="28" t="str">
        <f t="shared" si="3"/>
        <v>18</v>
      </c>
      <c r="E19" s="29" t="s">
        <v>380</v>
      </c>
      <c r="F19" s="29" t="s">
        <v>377</v>
      </c>
      <c r="G19" s="16" t="s">
        <v>402</v>
      </c>
      <c r="H19" s="31" t="s">
        <v>796</v>
      </c>
      <c r="I19" s="31" t="s">
        <v>805</v>
      </c>
    </row>
    <row r="20" spans="2:9">
      <c r="B20" s="14" t="s">
        <v>403</v>
      </c>
      <c r="C20" s="15">
        <v>25</v>
      </c>
      <c r="D20" s="28" t="str">
        <f t="shared" si="3"/>
        <v>19</v>
      </c>
      <c r="E20" s="29" t="s">
        <v>380</v>
      </c>
      <c r="F20" s="29" t="s">
        <v>377</v>
      </c>
      <c r="G20" s="16" t="s">
        <v>405</v>
      </c>
      <c r="H20" s="30" t="s">
        <v>796</v>
      </c>
      <c r="I20" s="30" t="s">
        <v>805</v>
      </c>
    </row>
    <row r="21" spans="2:9">
      <c r="B21" s="14" t="s">
        <v>407</v>
      </c>
      <c r="C21" s="15">
        <v>32</v>
      </c>
      <c r="D21" s="28" t="str">
        <f t="shared" si="3"/>
        <v>20</v>
      </c>
      <c r="E21" s="29" t="s">
        <v>380</v>
      </c>
      <c r="F21" s="29" t="s">
        <v>406</v>
      </c>
      <c r="G21" s="16" t="s">
        <v>409</v>
      </c>
      <c r="H21" s="30" t="s">
        <v>796</v>
      </c>
      <c r="I21" s="30" t="s">
        <v>805</v>
      </c>
    </row>
    <row r="22" spans="2:9">
      <c r="B22" s="14" t="s">
        <v>410</v>
      </c>
      <c r="C22" s="15">
        <v>33</v>
      </c>
      <c r="D22" s="28" t="str">
        <f t="shared" ref="D22:D29" si="4">DEC2HEX(C22,2)</f>
        <v>21</v>
      </c>
      <c r="E22" s="29" t="s">
        <v>380</v>
      </c>
      <c r="F22" s="29" t="s">
        <v>406</v>
      </c>
      <c r="G22" s="16" t="s">
        <v>409</v>
      </c>
      <c r="H22" s="30" t="s">
        <v>796</v>
      </c>
      <c r="I22" s="30" t="s">
        <v>805</v>
      </c>
    </row>
    <row r="23" spans="2:9">
      <c r="B23" s="14" t="s">
        <v>412</v>
      </c>
      <c r="C23" s="15">
        <v>34</v>
      </c>
      <c r="D23" s="28" t="str">
        <f t="shared" si="4"/>
        <v>22</v>
      </c>
      <c r="E23" s="29" t="s">
        <v>380</v>
      </c>
      <c r="F23" s="29" t="s">
        <v>406</v>
      </c>
      <c r="G23" s="16" t="s">
        <v>409</v>
      </c>
      <c r="H23" s="30" t="s">
        <v>796</v>
      </c>
      <c r="I23" s="30" t="s">
        <v>805</v>
      </c>
    </row>
    <row r="24" spans="2:9">
      <c r="B24" s="14" t="s">
        <v>414</v>
      </c>
      <c r="C24" s="15">
        <v>35</v>
      </c>
      <c r="D24" s="28" t="str">
        <f t="shared" si="4"/>
        <v>23</v>
      </c>
      <c r="E24" s="29" t="s">
        <v>380</v>
      </c>
      <c r="F24" s="29" t="s">
        <v>406</v>
      </c>
      <c r="G24" s="16" t="s">
        <v>409</v>
      </c>
      <c r="H24" s="30" t="s">
        <v>796</v>
      </c>
      <c r="I24" s="30" t="s">
        <v>805</v>
      </c>
    </row>
    <row r="25" spans="2:9">
      <c r="B25" s="14" t="s">
        <v>416</v>
      </c>
      <c r="C25" s="15">
        <v>36</v>
      </c>
      <c r="D25" s="28" t="str">
        <f t="shared" si="4"/>
        <v>24</v>
      </c>
      <c r="E25" s="29" t="s">
        <v>380</v>
      </c>
      <c r="F25" s="29" t="s">
        <v>406</v>
      </c>
      <c r="G25" s="16" t="s">
        <v>409</v>
      </c>
      <c r="H25" s="30" t="s">
        <v>796</v>
      </c>
      <c r="I25" s="30" t="s">
        <v>805</v>
      </c>
    </row>
    <row r="26" spans="2:9">
      <c r="B26" s="14" t="s">
        <v>418</v>
      </c>
      <c r="C26" s="15">
        <v>37</v>
      </c>
      <c r="D26" s="28" t="str">
        <f t="shared" si="4"/>
        <v>25</v>
      </c>
      <c r="E26" s="29" t="s">
        <v>380</v>
      </c>
      <c r="F26" s="29" t="s">
        <v>406</v>
      </c>
      <c r="G26" s="16" t="s">
        <v>409</v>
      </c>
      <c r="H26" s="30" t="s">
        <v>796</v>
      </c>
      <c r="I26" s="30" t="s">
        <v>805</v>
      </c>
    </row>
    <row r="27" spans="2:9">
      <c r="B27" s="14" t="s">
        <v>420</v>
      </c>
      <c r="C27" s="15">
        <v>38</v>
      </c>
      <c r="D27" s="28" t="str">
        <f t="shared" si="4"/>
        <v>26</v>
      </c>
      <c r="E27" s="29" t="s">
        <v>380</v>
      </c>
      <c r="F27" s="29" t="s">
        <v>406</v>
      </c>
      <c r="G27" s="16" t="s">
        <v>409</v>
      </c>
      <c r="H27" s="30" t="s">
        <v>796</v>
      </c>
      <c r="I27" s="30" t="s">
        <v>805</v>
      </c>
    </row>
    <row r="28" spans="2:9">
      <c r="B28" s="14" t="s">
        <v>43</v>
      </c>
      <c r="C28" s="15">
        <v>39</v>
      </c>
      <c r="D28" s="28" t="str">
        <f t="shared" si="4"/>
        <v>27</v>
      </c>
      <c r="E28" s="29" t="s">
        <v>380</v>
      </c>
      <c r="F28" s="29" t="s">
        <v>406</v>
      </c>
      <c r="G28" s="16" t="s">
        <v>423</v>
      </c>
      <c r="H28" s="30" t="s">
        <v>796</v>
      </c>
      <c r="I28" s="30" t="s">
        <v>805</v>
      </c>
    </row>
    <row r="29" spans="2:9">
      <c r="B29" s="14" t="s">
        <v>62</v>
      </c>
      <c r="C29" s="15">
        <v>40</v>
      </c>
      <c r="D29" s="28" t="str">
        <f t="shared" si="4"/>
        <v>28</v>
      </c>
      <c r="E29" s="29" t="s">
        <v>380</v>
      </c>
      <c r="F29" s="29" t="s">
        <v>406</v>
      </c>
      <c r="G29" s="16" t="s">
        <v>428</v>
      </c>
      <c r="H29" s="30" t="s">
        <v>796</v>
      </c>
      <c r="I29" s="30" t="s">
        <v>805</v>
      </c>
    </row>
    <row r="30" spans="2:9">
      <c r="B30" s="14" t="s">
        <v>429</v>
      </c>
      <c r="C30" s="15">
        <v>41</v>
      </c>
      <c r="D30" s="28" t="str">
        <f t="shared" ref="D30:D32" si="5">DEC2HEX(C30,2)</f>
        <v>29</v>
      </c>
      <c r="E30" s="29" t="s">
        <v>380</v>
      </c>
      <c r="F30" s="29" t="s">
        <v>406</v>
      </c>
      <c r="G30" s="16" t="s">
        <v>432</v>
      </c>
      <c r="H30" s="30" t="s">
        <v>796</v>
      </c>
      <c r="I30" s="30" t="s">
        <v>805</v>
      </c>
    </row>
    <row r="31" spans="2:9">
      <c r="B31" s="14" t="s">
        <v>433</v>
      </c>
      <c r="C31" s="15">
        <v>42</v>
      </c>
      <c r="D31" s="28" t="str">
        <f t="shared" si="5"/>
        <v>2A</v>
      </c>
      <c r="E31" s="29" t="s">
        <v>380</v>
      </c>
      <c r="F31" s="29" t="s">
        <v>406</v>
      </c>
      <c r="G31" s="16" t="s">
        <v>435</v>
      </c>
      <c r="H31" s="30" t="s">
        <v>796</v>
      </c>
      <c r="I31" s="30" t="s">
        <v>805</v>
      </c>
    </row>
    <row r="32" spans="2:9">
      <c r="B32" s="14" t="s">
        <v>83</v>
      </c>
      <c r="C32" s="15">
        <v>64</v>
      </c>
      <c r="D32" s="28" t="str">
        <f t="shared" si="5"/>
        <v>40</v>
      </c>
      <c r="E32" s="29" t="s">
        <v>380</v>
      </c>
      <c r="F32" s="29" t="s">
        <v>436</v>
      </c>
      <c r="G32" s="16" t="s">
        <v>438</v>
      </c>
      <c r="H32" s="30" t="s">
        <v>796</v>
      </c>
      <c r="I32" s="30" t="s">
        <v>805</v>
      </c>
    </row>
    <row r="33" spans="2:9">
      <c r="B33" s="14" t="s">
        <v>439</v>
      </c>
      <c r="C33" s="15">
        <v>65</v>
      </c>
      <c r="D33" s="28" t="str">
        <f t="shared" ref="D33:D38" si="6">DEC2HEX(C33,2)</f>
        <v>41</v>
      </c>
      <c r="E33" s="29" t="s">
        <v>380</v>
      </c>
      <c r="F33" s="29" t="s">
        <v>436</v>
      </c>
      <c r="G33" s="16" t="s">
        <v>438</v>
      </c>
      <c r="H33" s="30" t="s">
        <v>796</v>
      </c>
      <c r="I33" s="30" t="s">
        <v>805</v>
      </c>
    </row>
    <row r="34" spans="2:9">
      <c r="B34" s="14" t="s">
        <v>442</v>
      </c>
      <c r="C34" s="15">
        <v>66</v>
      </c>
      <c r="D34" s="28" t="str">
        <f t="shared" si="6"/>
        <v>42</v>
      </c>
      <c r="E34" s="29" t="s">
        <v>380</v>
      </c>
      <c r="F34" s="29" t="s">
        <v>436</v>
      </c>
      <c r="G34" s="16" t="s">
        <v>438</v>
      </c>
      <c r="H34" s="30" t="s">
        <v>796</v>
      </c>
      <c r="I34" s="30" t="s">
        <v>805</v>
      </c>
    </row>
    <row r="35" spans="2:9">
      <c r="B35" s="14" t="s">
        <v>445</v>
      </c>
      <c r="C35" s="15">
        <v>67</v>
      </c>
      <c r="D35" s="28" t="str">
        <f t="shared" si="6"/>
        <v>43</v>
      </c>
      <c r="E35" s="29" t="s">
        <v>380</v>
      </c>
      <c r="F35" s="29" t="s">
        <v>436</v>
      </c>
      <c r="G35" s="16" t="s">
        <v>438</v>
      </c>
      <c r="H35" s="30" t="s">
        <v>796</v>
      </c>
      <c r="I35" s="30" t="s">
        <v>805</v>
      </c>
    </row>
    <row r="36" spans="2:9">
      <c r="B36" s="14" t="s">
        <v>448</v>
      </c>
      <c r="C36" s="15">
        <v>68</v>
      </c>
      <c r="D36" s="28" t="str">
        <f t="shared" si="6"/>
        <v>44</v>
      </c>
      <c r="E36" s="29" t="s">
        <v>380</v>
      </c>
      <c r="F36" s="29" t="s">
        <v>436</v>
      </c>
      <c r="G36" s="16" t="s">
        <v>438</v>
      </c>
      <c r="H36" s="30" t="s">
        <v>796</v>
      </c>
      <c r="I36" s="30" t="s">
        <v>805</v>
      </c>
    </row>
    <row r="37" spans="2:9">
      <c r="B37" s="14" t="s">
        <v>451</v>
      </c>
      <c r="C37" s="15">
        <v>69</v>
      </c>
      <c r="D37" s="28" t="str">
        <f t="shared" si="6"/>
        <v>45</v>
      </c>
      <c r="E37" s="29" t="s">
        <v>380</v>
      </c>
      <c r="F37" s="29" t="s">
        <v>436</v>
      </c>
      <c r="G37" s="16" t="s">
        <v>438</v>
      </c>
      <c r="H37" s="30" t="s">
        <v>796</v>
      </c>
      <c r="I37" s="30" t="s">
        <v>805</v>
      </c>
    </row>
    <row r="38" spans="2:9">
      <c r="B38" s="14" t="s">
        <v>454</v>
      </c>
      <c r="C38" s="15">
        <v>70</v>
      </c>
      <c r="D38" s="28" t="str">
        <f t="shared" si="6"/>
        <v>46</v>
      </c>
      <c r="E38" s="29" t="s">
        <v>380</v>
      </c>
      <c r="F38" s="29" t="s">
        <v>436</v>
      </c>
      <c r="G38" s="16" t="s">
        <v>438</v>
      </c>
      <c r="H38" s="30" t="s">
        <v>796</v>
      </c>
      <c r="I38" s="30" t="s">
        <v>805</v>
      </c>
    </row>
    <row r="39" spans="2:9">
      <c r="B39" s="14" t="s">
        <v>457</v>
      </c>
      <c r="C39" s="15">
        <v>71</v>
      </c>
      <c r="D39" s="28" t="str">
        <f t="shared" ref="D39:D41" si="7">DEC2HEX(C39,2)</f>
        <v>47</v>
      </c>
      <c r="E39" s="29" t="s">
        <v>380</v>
      </c>
      <c r="F39" s="29" t="s">
        <v>436</v>
      </c>
      <c r="G39" s="16" t="s">
        <v>438</v>
      </c>
      <c r="H39" s="30" t="s">
        <v>796</v>
      </c>
      <c r="I39" s="30" t="s">
        <v>805</v>
      </c>
    </row>
    <row r="40" spans="2:9">
      <c r="B40" s="14" t="s">
        <v>462</v>
      </c>
      <c r="C40" s="15">
        <v>72</v>
      </c>
      <c r="D40" s="28" t="str">
        <f t="shared" si="7"/>
        <v>48</v>
      </c>
      <c r="E40" s="29" t="s">
        <v>380</v>
      </c>
      <c r="F40" s="29" t="s">
        <v>436</v>
      </c>
      <c r="G40" s="16" t="s">
        <v>438</v>
      </c>
      <c r="H40" s="30" t="s">
        <v>796</v>
      </c>
      <c r="I40" s="30" t="s">
        <v>805</v>
      </c>
    </row>
    <row r="41" spans="2:9">
      <c r="B41" s="14" t="s">
        <v>465</v>
      </c>
      <c r="C41" s="15">
        <v>73</v>
      </c>
      <c r="D41" s="28" t="str">
        <f t="shared" si="7"/>
        <v>49</v>
      </c>
      <c r="E41" s="29" t="s">
        <v>380</v>
      </c>
      <c r="F41" s="29" t="s">
        <v>436</v>
      </c>
      <c r="G41" s="16" t="s">
        <v>470</v>
      </c>
      <c r="H41" s="30" t="s">
        <v>796</v>
      </c>
      <c r="I41" s="30" t="s">
        <v>805</v>
      </c>
    </row>
    <row r="42" spans="2:9">
      <c r="B42" s="14" t="s">
        <v>471</v>
      </c>
      <c r="C42" s="15">
        <v>74</v>
      </c>
      <c r="D42" s="28" t="str">
        <f t="shared" ref="D42:D45" si="8">DEC2HEX(C42,2)</f>
        <v>4A</v>
      </c>
      <c r="E42" s="29" t="s">
        <v>380</v>
      </c>
      <c r="F42" s="29" t="s">
        <v>436</v>
      </c>
      <c r="G42" s="16" t="s">
        <v>473</v>
      </c>
      <c r="H42" s="30" t="s">
        <v>796</v>
      </c>
      <c r="I42" s="30" t="s">
        <v>805</v>
      </c>
    </row>
    <row r="43" spans="2:9">
      <c r="B43" s="14" t="s">
        <v>474</v>
      </c>
      <c r="C43" s="15">
        <v>75</v>
      </c>
      <c r="D43" s="28" t="str">
        <f t="shared" si="8"/>
        <v>4B</v>
      </c>
      <c r="E43" s="29" t="s">
        <v>380</v>
      </c>
      <c r="F43" s="29" t="s">
        <v>436</v>
      </c>
      <c r="G43" s="16" t="s">
        <v>473</v>
      </c>
      <c r="H43" s="30" t="s">
        <v>796</v>
      </c>
      <c r="I43" s="30" t="s">
        <v>805</v>
      </c>
    </row>
    <row r="44" spans="2:9">
      <c r="B44" s="14" t="s">
        <v>476</v>
      </c>
      <c r="C44" s="15">
        <v>76</v>
      </c>
      <c r="D44" s="28" t="str">
        <f t="shared" si="8"/>
        <v>4C</v>
      </c>
      <c r="E44" s="29" t="s">
        <v>380</v>
      </c>
      <c r="F44" s="29" t="s">
        <v>436</v>
      </c>
      <c r="G44" s="16" t="s">
        <v>478</v>
      </c>
      <c r="H44" s="30" t="s">
        <v>796</v>
      </c>
      <c r="I44" s="30" t="s">
        <v>805</v>
      </c>
    </row>
    <row r="45" spans="2:9">
      <c r="B45" s="14" t="s">
        <v>479</v>
      </c>
      <c r="C45" s="15">
        <v>77</v>
      </c>
      <c r="D45" s="28" t="str">
        <f t="shared" si="8"/>
        <v>4D</v>
      </c>
      <c r="E45" s="29" t="s">
        <v>380</v>
      </c>
      <c r="F45" s="29" t="s">
        <v>436</v>
      </c>
      <c r="G45" s="16" t="s">
        <v>478</v>
      </c>
      <c r="H45" s="30" t="s">
        <v>796</v>
      </c>
      <c r="I45" s="30" t="s">
        <v>805</v>
      </c>
    </row>
    <row r="46" spans="2:9">
      <c r="B46" s="14" t="s">
        <v>481</v>
      </c>
      <c r="C46" s="15">
        <v>78</v>
      </c>
      <c r="D46" s="28" t="str">
        <f t="shared" ref="D46:D58" si="9">DEC2HEX(C46,2)</f>
        <v>4E</v>
      </c>
      <c r="E46" s="29" t="s">
        <v>380</v>
      </c>
      <c r="F46" s="29" t="s">
        <v>436</v>
      </c>
      <c r="G46" s="16" t="s">
        <v>488</v>
      </c>
      <c r="H46" s="30" t="s">
        <v>796</v>
      </c>
      <c r="I46" s="30" t="s">
        <v>805</v>
      </c>
    </row>
    <row r="47" spans="2:9">
      <c r="B47" s="14" t="s">
        <v>489</v>
      </c>
      <c r="C47" s="15">
        <v>79</v>
      </c>
      <c r="D47" s="28" t="str">
        <f t="shared" si="9"/>
        <v>4F</v>
      </c>
      <c r="E47" s="29" t="s">
        <v>380</v>
      </c>
      <c r="F47" s="29" t="s">
        <v>436</v>
      </c>
      <c r="G47" s="16" t="s">
        <v>488</v>
      </c>
      <c r="H47" s="30" t="s">
        <v>796</v>
      </c>
      <c r="I47" s="30" t="s">
        <v>805</v>
      </c>
    </row>
    <row r="48" spans="2:9">
      <c r="B48" s="14" t="s">
        <v>492</v>
      </c>
      <c r="C48" s="15">
        <v>80</v>
      </c>
      <c r="D48" s="28" t="str">
        <f t="shared" si="9"/>
        <v>50</v>
      </c>
      <c r="E48" s="29" t="s">
        <v>380</v>
      </c>
      <c r="F48" s="29" t="s">
        <v>436</v>
      </c>
      <c r="G48" s="16" t="s">
        <v>488</v>
      </c>
      <c r="H48" s="30" t="s">
        <v>796</v>
      </c>
      <c r="I48" s="30" t="s">
        <v>805</v>
      </c>
    </row>
    <row r="49" spans="2:9">
      <c r="B49" s="14" t="s">
        <v>494</v>
      </c>
      <c r="C49" s="15">
        <v>81</v>
      </c>
      <c r="D49" s="28" t="str">
        <f t="shared" ref="D49" si="10">DEC2HEX(C49,2)</f>
        <v>51</v>
      </c>
      <c r="E49" s="29" t="s">
        <v>380</v>
      </c>
      <c r="F49" s="29" t="s">
        <v>436</v>
      </c>
      <c r="G49" s="16" t="s">
        <v>488</v>
      </c>
      <c r="H49" s="30" t="s">
        <v>796</v>
      </c>
      <c r="I49" s="30" t="s">
        <v>805</v>
      </c>
    </row>
    <row r="50" spans="2:9">
      <c r="B50" s="14" t="s">
        <v>497</v>
      </c>
      <c r="C50" s="15">
        <v>82</v>
      </c>
      <c r="D50" s="28" t="str">
        <f t="shared" ref="D50" si="11">DEC2HEX(C50,2)</f>
        <v>52</v>
      </c>
      <c r="E50" s="29" t="s">
        <v>380</v>
      </c>
      <c r="F50" s="29" t="s">
        <v>436</v>
      </c>
      <c r="G50" s="16" t="s">
        <v>501</v>
      </c>
      <c r="H50" s="30" t="s">
        <v>796</v>
      </c>
      <c r="I50" s="30" t="s">
        <v>805</v>
      </c>
    </row>
    <row r="51" spans="2:9">
      <c r="B51" s="14" t="s">
        <v>502</v>
      </c>
      <c r="C51" s="15">
        <v>83</v>
      </c>
      <c r="D51" s="28" t="str">
        <f t="shared" ref="D51:D54" si="12">DEC2HEX(C51,2)</f>
        <v>53</v>
      </c>
      <c r="E51" s="29" t="s">
        <v>380</v>
      </c>
      <c r="F51" s="29" t="s">
        <v>436</v>
      </c>
      <c r="G51" s="16" t="s">
        <v>501</v>
      </c>
      <c r="H51" s="30" t="s">
        <v>796</v>
      </c>
      <c r="I51" s="30" t="s">
        <v>805</v>
      </c>
    </row>
    <row r="52" spans="2:9">
      <c r="B52" s="14" t="s">
        <v>506</v>
      </c>
      <c r="C52" s="15">
        <v>84</v>
      </c>
      <c r="D52" s="28" t="str">
        <f t="shared" si="12"/>
        <v>54</v>
      </c>
      <c r="E52" s="29" t="s">
        <v>380</v>
      </c>
      <c r="F52" s="29" t="s">
        <v>436</v>
      </c>
      <c r="G52" s="16" t="s">
        <v>501</v>
      </c>
      <c r="H52" s="30" t="s">
        <v>796</v>
      </c>
      <c r="I52" s="30" t="s">
        <v>805</v>
      </c>
    </row>
    <row r="53" spans="2:9">
      <c r="B53" s="14" t="s">
        <v>510</v>
      </c>
      <c r="C53" s="15">
        <v>85</v>
      </c>
      <c r="D53" s="28" t="str">
        <f t="shared" si="12"/>
        <v>55</v>
      </c>
      <c r="E53" s="29" t="s">
        <v>380</v>
      </c>
      <c r="F53" s="29" t="s">
        <v>436</v>
      </c>
      <c r="G53" s="16" t="s">
        <v>501</v>
      </c>
      <c r="H53" s="30" t="s">
        <v>796</v>
      </c>
      <c r="I53" s="30" t="s">
        <v>805</v>
      </c>
    </row>
    <row r="54" spans="2:9">
      <c r="B54" s="14" t="s">
        <v>514</v>
      </c>
      <c r="C54" s="15">
        <v>86</v>
      </c>
      <c r="D54" s="28" t="str">
        <f t="shared" si="12"/>
        <v>56</v>
      </c>
      <c r="E54" s="29" t="s">
        <v>380</v>
      </c>
      <c r="F54" s="29" t="s">
        <v>436</v>
      </c>
      <c r="G54" s="16" t="s">
        <v>501</v>
      </c>
      <c r="H54" s="30" t="s">
        <v>796</v>
      </c>
      <c r="I54" s="30" t="s">
        <v>805</v>
      </c>
    </row>
    <row r="55" spans="2:9">
      <c r="B55" s="14" t="s">
        <v>517</v>
      </c>
      <c r="C55" s="15">
        <v>87</v>
      </c>
      <c r="D55" s="28" t="str">
        <f t="shared" si="9"/>
        <v>57</v>
      </c>
      <c r="E55" s="29" t="s">
        <v>380</v>
      </c>
      <c r="F55" s="29" t="s">
        <v>436</v>
      </c>
      <c r="G55" s="16" t="s">
        <v>520</v>
      </c>
      <c r="H55" s="30" t="s">
        <v>796</v>
      </c>
      <c r="I55" s="30" t="s">
        <v>805</v>
      </c>
    </row>
    <row r="56" spans="2:9">
      <c r="B56" s="14" t="s">
        <v>523</v>
      </c>
      <c r="C56" s="15">
        <v>88</v>
      </c>
      <c r="D56" s="28" t="str">
        <f t="shared" ref="D56" si="13">DEC2HEX(C56,2)</f>
        <v>58</v>
      </c>
      <c r="E56" s="29" t="s">
        <v>380</v>
      </c>
      <c r="F56" s="29" t="s">
        <v>436</v>
      </c>
      <c r="G56" s="16" t="s">
        <v>525</v>
      </c>
      <c r="H56" s="30" t="s">
        <v>796</v>
      </c>
      <c r="I56" s="30" t="s">
        <v>805</v>
      </c>
    </row>
    <row r="57" spans="2:9">
      <c r="B57" s="14" t="s">
        <v>527</v>
      </c>
      <c r="C57" s="15">
        <v>89</v>
      </c>
      <c r="D57" s="28" t="str">
        <f t="shared" si="9"/>
        <v>59</v>
      </c>
      <c r="E57" s="29" t="s">
        <v>380</v>
      </c>
      <c r="F57" s="29" t="s">
        <v>436</v>
      </c>
      <c r="G57" s="16" t="s">
        <v>530</v>
      </c>
      <c r="H57" s="30" t="s">
        <v>796</v>
      </c>
      <c r="I57" s="30" t="s">
        <v>805</v>
      </c>
    </row>
    <row r="58" spans="2:9">
      <c r="B58" s="14" t="s">
        <v>531</v>
      </c>
      <c r="C58" s="15">
        <v>90</v>
      </c>
      <c r="D58" s="28" t="str">
        <f t="shared" si="9"/>
        <v>5A</v>
      </c>
      <c r="E58" s="29" t="s">
        <v>380</v>
      </c>
      <c r="F58" s="29" t="s">
        <v>436</v>
      </c>
      <c r="G58" s="16" t="s">
        <v>533</v>
      </c>
      <c r="H58" s="30" t="s">
        <v>796</v>
      </c>
      <c r="I58" s="30" t="s">
        <v>805</v>
      </c>
    </row>
    <row r="59" spans="2:9">
      <c r="B59" s="14" t="s">
        <v>535</v>
      </c>
      <c r="C59" s="15">
        <v>96</v>
      </c>
      <c r="D59" s="28" t="str">
        <f t="shared" ref="D59:D62" si="14">DEC2HEX(C59,2)</f>
        <v>60</v>
      </c>
      <c r="E59" s="29" t="s">
        <v>380</v>
      </c>
      <c r="F59" s="29" t="s">
        <v>534</v>
      </c>
      <c r="G59" s="16" t="s">
        <v>538</v>
      </c>
      <c r="H59" s="30" t="s">
        <v>796</v>
      </c>
      <c r="I59" s="30" t="s">
        <v>805</v>
      </c>
    </row>
    <row r="60" spans="2:9">
      <c r="B60" s="14" t="s">
        <v>540</v>
      </c>
      <c r="C60" s="15">
        <v>127</v>
      </c>
      <c r="D60" s="28" t="str">
        <f t="shared" si="14"/>
        <v>7F</v>
      </c>
      <c r="E60" s="29" t="s">
        <v>380</v>
      </c>
      <c r="F60" s="29" t="s">
        <v>539</v>
      </c>
      <c r="G60" s="16" t="s">
        <v>543</v>
      </c>
      <c r="H60" s="30" t="s">
        <v>796</v>
      </c>
      <c r="I60" s="30" t="s">
        <v>805</v>
      </c>
    </row>
    <row r="61" spans="2:9">
      <c r="B61" s="14" t="s">
        <v>544</v>
      </c>
      <c r="C61" s="15">
        <v>128</v>
      </c>
      <c r="D61" s="28" t="str">
        <f t="shared" si="14"/>
        <v>80</v>
      </c>
      <c r="E61" s="29" t="s">
        <v>357</v>
      </c>
      <c r="F61" s="29" t="s">
        <v>539</v>
      </c>
      <c r="G61" s="16" t="s">
        <v>547</v>
      </c>
      <c r="H61" s="30" t="s">
        <v>796</v>
      </c>
      <c r="I61" s="30" t="s">
        <v>804</v>
      </c>
    </row>
    <row r="62" spans="2:9">
      <c r="B62" s="14" t="s">
        <v>548</v>
      </c>
      <c r="C62" s="15">
        <v>129</v>
      </c>
      <c r="D62" s="28" t="str">
        <f t="shared" si="14"/>
        <v>81</v>
      </c>
      <c r="E62" s="29" t="s">
        <v>357</v>
      </c>
      <c r="F62" s="29" t="s">
        <v>539</v>
      </c>
      <c r="G62" s="16" t="s">
        <v>551</v>
      </c>
      <c r="H62" s="30" t="s">
        <v>796</v>
      </c>
      <c r="I62" s="30" t="s">
        <v>804</v>
      </c>
    </row>
    <row r="63" spans="2:9">
      <c r="B63" s="14" t="s">
        <v>552</v>
      </c>
      <c r="C63" s="15">
        <v>130</v>
      </c>
      <c r="D63" s="28" t="str">
        <f t="shared" ref="D63:D68" si="15">DEC2HEX(C63,2)</f>
        <v>82</v>
      </c>
      <c r="E63" s="29" t="s">
        <v>357</v>
      </c>
      <c r="F63" s="29" t="s">
        <v>539</v>
      </c>
      <c r="G63" s="16" t="s">
        <v>555</v>
      </c>
      <c r="H63" s="30" t="s">
        <v>796</v>
      </c>
      <c r="I63" s="30" t="s">
        <v>804</v>
      </c>
    </row>
    <row r="64" spans="2:9">
      <c r="B64" s="14" t="s">
        <v>556</v>
      </c>
      <c r="C64" s="15">
        <v>131</v>
      </c>
      <c r="D64" s="28" t="str">
        <f t="shared" si="15"/>
        <v>83</v>
      </c>
      <c r="E64" s="29" t="s">
        <v>357</v>
      </c>
      <c r="F64" s="29" t="s">
        <v>539</v>
      </c>
      <c r="G64" s="16" t="s">
        <v>559</v>
      </c>
      <c r="H64" s="30" t="s">
        <v>796</v>
      </c>
      <c r="I64" s="30" t="s">
        <v>804</v>
      </c>
    </row>
    <row r="65" spans="2:9">
      <c r="B65" s="14" t="s">
        <v>560</v>
      </c>
      <c r="C65" s="15">
        <v>132</v>
      </c>
      <c r="D65" s="28" t="str">
        <f t="shared" si="15"/>
        <v>84</v>
      </c>
      <c r="E65" s="29" t="s">
        <v>357</v>
      </c>
      <c r="F65" s="29" t="s">
        <v>539</v>
      </c>
      <c r="G65" s="16" t="s">
        <v>563</v>
      </c>
      <c r="H65" s="30" t="s">
        <v>796</v>
      </c>
      <c r="I65" s="30" t="s">
        <v>804</v>
      </c>
    </row>
    <row r="66" spans="2:9">
      <c r="B66" s="14" t="s">
        <v>564</v>
      </c>
      <c r="C66" s="15">
        <v>133</v>
      </c>
      <c r="D66" s="28" t="str">
        <f t="shared" si="15"/>
        <v>85</v>
      </c>
      <c r="E66" s="29" t="s">
        <v>357</v>
      </c>
      <c r="F66" s="29" t="s">
        <v>539</v>
      </c>
      <c r="G66" s="16" t="s">
        <v>567</v>
      </c>
      <c r="H66" s="30" t="s">
        <v>796</v>
      </c>
      <c r="I66" s="30" t="s">
        <v>804</v>
      </c>
    </row>
    <row r="67" spans="2:9">
      <c r="B67" s="14" t="s">
        <v>568</v>
      </c>
      <c r="C67" s="15">
        <v>134</v>
      </c>
      <c r="D67" s="28" t="str">
        <f t="shared" si="15"/>
        <v>86</v>
      </c>
      <c r="E67" s="29" t="s">
        <v>357</v>
      </c>
      <c r="F67" s="29" t="s">
        <v>539</v>
      </c>
      <c r="G67" s="16" t="s">
        <v>571</v>
      </c>
      <c r="H67" s="30" t="s">
        <v>796</v>
      </c>
      <c r="I67" s="30" t="s">
        <v>804</v>
      </c>
    </row>
    <row r="68" spans="2:9">
      <c r="B68" s="14" t="s">
        <v>572</v>
      </c>
      <c r="C68" s="15">
        <v>135</v>
      </c>
      <c r="D68" s="28" t="str">
        <f t="shared" si="15"/>
        <v>87</v>
      </c>
      <c r="E68" s="29" t="s">
        <v>357</v>
      </c>
      <c r="F68" s="29" t="s">
        <v>539</v>
      </c>
      <c r="G68" s="16" t="s">
        <v>575</v>
      </c>
      <c r="H68" s="30" t="s">
        <v>796</v>
      </c>
      <c r="I68" s="30" t="s">
        <v>804</v>
      </c>
    </row>
    <row r="69" spans="2:9">
      <c r="B69" s="14" t="s">
        <v>577</v>
      </c>
      <c r="C69" s="15">
        <v>192</v>
      </c>
      <c r="D69" s="28" t="str">
        <f t="shared" ref="D69" si="16">DEC2HEX(C69,2)</f>
        <v>C0</v>
      </c>
      <c r="E69" s="29" t="s">
        <v>380</v>
      </c>
      <c r="F69" s="29" t="s">
        <v>576</v>
      </c>
      <c r="G69" s="16" t="s">
        <v>581</v>
      </c>
      <c r="H69" s="30" t="s">
        <v>796</v>
      </c>
      <c r="I69" s="30" t="s">
        <v>805</v>
      </c>
    </row>
    <row r="70" spans="2:9">
      <c r="B70" s="14" t="s">
        <v>582</v>
      </c>
      <c r="C70" s="15">
        <v>193</v>
      </c>
      <c r="D70" s="28" t="str">
        <f t="shared" ref="D70:D73" si="17">DEC2HEX(C70,2)</f>
        <v>C1</v>
      </c>
      <c r="E70" s="29" t="s">
        <v>584</v>
      </c>
      <c r="F70" s="29" t="s">
        <v>576</v>
      </c>
      <c r="G70" s="16" t="s">
        <v>586</v>
      </c>
      <c r="H70" s="30" t="s">
        <v>796</v>
      </c>
      <c r="I70" s="30" t="s">
        <v>808</v>
      </c>
    </row>
    <row r="71" spans="2:9">
      <c r="B71" s="14" t="s">
        <v>587</v>
      </c>
      <c r="C71" s="15">
        <v>194</v>
      </c>
      <c r="D71" s="28" t="str">
        <f t="shared" si="17"/>
        <v>C2</v>
      </c>
      <c r="E71" s="29" t="s">
        <v>380</v>
      </c>
      <c r="F71" s="29" t="s">
        <v>576</v>
      </c>
      <c r="G71" s="16" t="s">
        <v>590</v>
      </c>
      <c r="H71" s="30" t="s">
        <v>796</v>
      </c>
      <c r="I71" s="30" t="s">
        <v>805</v>
      </c>
    </row>
    <row r="72" spans="2:9">
      <c r="B72" s="14" t="s">
        <v>591</v>
      </c>
      <c r="C72" s="15">
        <v>195</v>
      </c>
      <c r="D72" s="28" t="str">
        <f t="shared" si="17"/>
        <v>C3</v>
      </c>
      <c r="E72" s="29" t="s">
        <v>380</v>
      </c>
      <c r="F72" s="29" t="s">
        <v>576</v>
      </c>
      <c r="G72" s="16" t="s">
        <v>594</v>
      </c>
      <c r="H72" s="31" t="s">
        <v>796</v>
      </c>
      <c r="I72" s="31" t="s">
        <v>805</v>
      </c>
    </row>
    <row r="73" spans="2:9">
      <c r="B73" s="14" t="s">
        <v>595</v>
      </c>
      <c r="C73" s="15">
        <v>196</v>
      </c>
      <c r="D73" s="28" t="str">
        <f t="shared" si="17"/>
        <v>C4</v>
      </c>
      <c r="E73" s="29" t="s">
        <v>380</v>
      </c>
      <c r="F73" s="29" t="s">
        <v>576</v>
      </c>
      <c r="G73" s="16" t="s">
        <v>594</v>
      </c>
      <c r="H73" s="31" t="s">
        <v>796</v>
      </c>
      <c r="I73" s="31" t="s">
        <v>805</v>
      </c>
    </row>
    <row r="74" spans="2:9">
      <c r="B74" s="14" t="s">
        <v>598</v>
      </c>
      <c r="C74" s="15">
        <v>197</v>
      </c>
      <c r="D74" s="28" t="str">
        <f t="shared" ref="D74:D88" si="18">DEC2HEX(C74,2)</f>
        <v>C5</v>
      </c>
      <c r="E74" s="29" t="s">
        <v>380</v>
      </c>
      <c r="F74" s="29" t="s">
        <v>576</v>
      </c>
      <c r="G74" s="16" t="s">
        <v>602</v>
      </c>
      <c r="H74" s="31" t="s">
        <v>796</v>
      </c>
      <c r="I74" s="31" t="s">
        <v>805</v>
      </c>
    </row>
    <row r="75" spans="2:9">
      <c r="B75" s="14" t="s">
        <v>603</v>
      </c>
      <c r="C75" s="15">
        <v>198</v>
      </c>
      <c r="D75" s="28" t="str">
        <f t="shared" si="18"/>
        <v>C6</v>
      </c>
      <c r="E75" s="29" t="s">
        <v>380</v>
      </c>
      <c r="F75" s="29" t="s">
        <v>576</v>
      </c>
      <c r="G75" s="16" t="s">
        <v>606</v>
      </c>
      <c r="H75" s="31" t="s">
        <v>796</v>
      </c>
      <c r="I75" s="31" t="s">
        <v>805</v>
      </c>
    </row>
    <row r="76" spans="2:9">
      <c r="B76" s="14" t="s">
        <v>607</v>
      </c>
      <c r="C76" s="15">
        <v>199</v>
      </c>
      <c r="D76" s="28" t="str">
        <f t="shared" si="18"/>
        <v>C7</v>
      </c>
      <c r="E76" s="29" t="s">
        <v>380</v>
      </c>
      <c r="F76" s="29" t="s">
        <v>576</v>
      </c>
      <c r="G76" s="16" t="s">
        <v>610</v>
      </c>
      <c r="H76" s="31" t="s">
        <v>796</v>
      </c>
      <c r="I76" s="31" t="s">
        <v>805</v>
      </c>
    </row>
    <row r="77" spans="2:9">
      <c r="B77" s="14" t="s">
        <v>611</v>
      </c>
      <c r="C77" s="15">
        <v>200</v>
      </c>
      <c r="D77" s="28" t="str">
        <f t="shared" si="18"/>
        <v>C8</v>
      </c>
      <c r="E77" s="29" t="s">
        <v>380</v>
      </c>
      <c r="F77" s="29" t="s">
        <v>576</v>
      </c>
      <c r="G77" s="16" t="s">
        <v>621</v>
      </c>
      <c r="H77" s="31" t="s">
        <v>796</v>
      </c>
      <c r="I77" s="31" t="s">
        <v>805</v>
      </c>
    </row>
    <row r="78" spans="2:9">
      <c r="B78" s="14" t="s">
        <v>622</v>
      </c>
      <c r="C78" s="15">
        <v>201</v>
      </c>
      <c r="D78" s="28" t="str">
        <f t="shared" si="18"/>
        <v>C9</v>
      </c>
      <c r="E78" s="29" t="s">
        <v>380</v>
      </c>
      <c r="F78" s="29" t="s">
        <v>576</v>
      </c>
      <c r="G78" s="16" t="s">
        <v>621</v>
      </c>
      <c r="H78" s="31" t="s">
        <v>796</v>
      </c>
      <c r="I78" s="31" t="s">
        <v>805</v>
      </c>
    </row>
    <row r="79" spans="2:9">
      <c r="B79" s="14" t="s">
        <v>631</v>
      </c>
      <c r="C79" s="15">
        <v>202</v>
      </c>
      <c r="D79" s="28" t="str">
        <f t="shared" si="18"/>
        <v>CA</v>
      </c>
      <c r="E79" s="29" t="s">
        <v>380</v>
      </c>
      <c r="F79" s="29" t="s">
        <v>576</v>
      </c>
      <c r="G79" s="16" t="s">
        <v>621</v>
      </c>
      <c r="H79" s="31" t="s">
        <v>796</v>
      </c>
      <c r="I79" s="31" t="s">
        <v>805</v>
      </c>
    </row>
    <row r="80" spans="2:9">
      <c r="B80" s="14" t="s">
        <v>637</v>
      </c>
      <c r="C80" s="15">
        <v>203</v>
      </c>
      <c r="D80" s="28" t="str">
        <f t="shared" si="18"/>
        <v>CB</v>
      </c>
      <c r="E80" s="29" t="s">
        <v>380</v>
      </c>
      <c r="F80" s="29" t="s">
        <v>576</v>
      </c>
      <c r="G80" s="16" t="s">
        <v>641</v>
      </c>
      <c r="H80" s="31" t="s">
        <v>796</v>
      </c>
      <c r="I80" s="31" t="s">
        <v>805</v>
      </c>
    </row>
    <row r="81" spans="2:9">
      <c r="B81" s="14" t="s">
        <v>642</v>
      </c>
      <c r="C81" s="15">
        <v>204</v>
      </c>
      <c r="D81" s="28" t="str">
        <f t="shared" si="18"/>
        <v>CC</v>
      </c>
      <c r="E81" s="29" t="s">
        <v>380</v>
      </c>
      <c r="F81" s="29" t="s">
        <v>576</v>
      </c>
      <c r="G81" s="16" t="s">
        <v>648</v>
      </c>
      <c r="H81" s="31" t="s">
        <v>796</v>
      </c>
      <c r="I81" s="31" t="s">
        <v>805</v>
      </c>
    </row>
    <row r="82" spans="2:9">
      <c r="B82" s="14" t="s">
        <v>649</v>
      </c>
      <c r="C82" s="15">
        <v>205</v>
      </c>
      <c r="D82" s="28" t="str">
        <f t="shared" si="18"/>
        <v>CD</v>
      </c>
      <c r="E82" s="29" t="s">
        <v>380</v>
      </c>
      <c r="F82" s="29" t="s">
        <v>576</v>
      </c>
      <c r="G82" s="16" t="s">
        <v>648</v>
      </c>
      <c r="H82" s="31" t="s">
        <v>796</v>
      </c>
      <c r="I82" s="31" t="s">
        <v>805</v>
      </c>
    </row>
    <row r="83" spans="2:9">
      <c r="B83" s="14" t="s">
        <v>655</v>
      </c>
      <c r="C83" s="15">
        <v>206</v>
      </c>
      <c r="D83" s="28" t="str">
        <f t="shared" si="18"/>
        <v>CE</v>
      </c>
      <c r="E83" s="29" t="s">
        <v>380</v>
      </c>
      <c r="F83" s="29" t="s">
        <v>576</v>
      </c>
      <c r="G83" s="16" t="s">
        <v>648</v>
      </c>
      <c r="H83" s="31" t="s">
        <v>796</v>
      </c>
      <c r="I83" s="31" t="s">
        <v>805</v>
      </c>
    </row>
    <row r="84" spans="2:9">
      <c r="B84" s="14" t="s">
        <v>661</v>
      </c>
      <c r="C84" s="15">
        <v>207</v>
      </c>
      <c r="D84" s="28" t="str">
        <f t="shared" si="18"/>
        <v>CF</v>
      </c>
      <c r="E84" s="29" t="s">
        <v>380</v>
      </c>
      <c r="F84" s="29" t="s">
        <v>576</v>
      </c>
      <c r="G84" s="16" t="s">
        <v>648</v>
      </c>
      <c r="H84" s="31" t="s">
        <v>796</v>
      </c>
      <c r="I84" s="31" t="s">
        <v>805</v>
      </c>
    </row>
    <row r="85" spans="2:9">
      <c r="B85" s="14" t="s">
        <v>667</v>
      </c>
      <c r="C85" s="15">
        <v>208</v>
      </c>
      <c r="D85" s="28" t="str">
        <f t="shared" si="18"/>
        <v>D0</v>
      </c>
      <c r="E85" s="29" t="s">
        <v>380</v>
      </c>
      <c r="F85" s="29" t="s">
        <v>576</v>
      </c>
      <c r="G85" s="16" t="s">
        <v>671</v>
      </c>
      <c r="H85" s="31" t="s">
        <v>796</v>
      </c>
      <c r="I85" s="31" t="s">
        <v>805</v>
      </c>
    </row>
    <row r="86" spans="2:9">
      <c r="B86" s="14" t="s">
        <v>672</v>
      </c>
      <c r="C86" s="15">
        <v>209</v>
      </c>
      <c r="D86" s="28" t="str">
        <f t="shared" si="18"/>
        <v>D1</v>
      </c>
      <c r="E86" s="29" t="s">
        <v>380</v>
      </c>
      <c r="F86" s="29" t="s">
        <v>576</v>
      </c>
      <c r="G86" s="16" t="s">
        <v>674</v>
      </c>
      <c r="H86" s="31" t="s">
        <v>796</v>
      </c>
      <c r="I86" s="31" t="s">
        <v>805</v>
      </c>
    </row>
    <row r="87" spans="2:9">
      <c r="B87" s="14" t="s">
        <v>675</v>
      </c>
      <c r="C87" s="15">
        <v>210</v>
      </c>
      <c r="D87" s="28" t="str">
        <f t="shared" si="18"/>
        <v>D2</v>
      </c>
      <c r="E87" s="29" t="s">
        <v>380</v>
      </c>
      <c r="F87" s="29" t="s">
        <v>576</v>
      </c>
      <c r="G87" s="16" t="s">
        <v>678</v>
      </c>
      <c r="H87" s="30" t="s">
        <v>796</v>
      </c>
      <c r="I87" s="30" t="s">
        <v>805</v>
      </c>
    </row>
    <row r="88" spans="2:9">
      <c r="B88" s="14" t="s">
        <v>679</v>
      </c>
      <c r="C88" s="15">
        <v>211</v>
      </c>
      <c r="D88" s="28" t="str">
        <f t="shared" si="18"/>
        <v>D3</v>
      </c>
      <c r="E88" s="29" t="s">
        <v>380</v>
      </c>
      <c r="F88" s="29" t="s">
        <v>576</v>
      </c>
      <c r="G88" s="16" t="s">
        <v>686</v>
      </c>
      <c r="H88" s="30" t="s">
        <v>796</v>
      </c>
      <c r="I88" s="30" t="s">
        <v>804</v>
      </c>
    </row>
    <row r="89" spans="2:9">
      <c r="B89" s="14" t="s">
        <v>688</v>
      </c>
      <c r="C89" s="15">
        <v>224</v>
      </c>
      <c r="D89" s="28" t="str">
        <f t="shared" si="0"/>
        <v>E0</v>
      </c>
      <c r="E89" s="29" t="s">
        <v>380</v>
      </c>
      <c r="F89" s="29" t="s">
        <v>687</v>
      </c>
      <c r="G89" s="16" t="s">
        <v>692</v>
      </c>
      <c r="H89" s="30" t="s">
        <v>796</v>
      </c>
      <c r="I89" s="30" t="s">
        <v>805</v>
      </c>
    </row>
    <row r="90" spans="2:9">
      <c r="B90" s="14" t="s">
        <v>693</v>
      </c>
      <c r="C90" s="15">
        <v>225</v>
      </c>
      <c r="D90" s="28" t="str">
        <f t="shared" si="0"/>
        <v>E1</v>
      </c>
      <c r="E90" s="29" t="s">
        <v>380</v>
      </c>
      <c r="F90" s="29" t="s">
        <v>687</v>
      </c>
      <c r="G90" s="16" t="s">
        <v>695</v>
      </c>
      <c r="H90" s="30" t="s">
        <v>796</v>
      </c>
      <c r="I90" s="30" t="s">
        <v>805</v>
      </c>
    </row>
    <row r="91" spans="2:9">
      <c r="B91" s="14" t="s">
        <v>696</v>
      </c>
      <c r="C91" s="15">
        <v>226</v>
      </c>
      <c r="D91" s="28" t="str">
        <f t="shared" ref="D91" si="19">DEC2HEX(C91,2)</f>
        <v>E2</v>
      </c>
      <c r="E91" s="29" t="s">
        <v>380</v>
      </c>
      <c r="F91" s="29" t="s">
        <v>687</v>
      </c>
      <c r="G91" s="16" t="s">
        <v>703</v>
      </c>
      <c r="H91" s="30" t="s">
        <v>796</v>
      </c>
      <c r="I91" s="30" t="s">
        <v>805</v>
      </c>
    </row>
    <row r="92" spans="2:9">
      <c r="B92" s="14" t="s">
        <v>704</v>
      </c>
      <c r="C92" s="15">
        <v>227</v>
      </c>
      <c r="D92" s="28" t="str">
        <f t="shared" si="0"/>
        <v>E3</v>
      </c>
      <c r="E92" s="29" t="s">
        <v>357</v>
      </c>
      <c r="F92" s="29" t="s">
        <v>687</v>
      </c>
      <c r="G92" s="16" t="s">
        <v>711</v>
      </c>
      <c r="H92" s="30" t="s">
        <v>796</v>
      </c>
      <c r="I92" s="30" t="s">
        <v>804</v>
      </c>
    </row>
    <row r="93" spans="2:9">
      <c r="B93" s="14" t="s">
        <v>712</v>
      </c>
      <c r="C93" s="15">
        <v>228</v>
      </c>
      <c r="D93" s="28" t="str">
        <f t="shared" si="0"/>
        <v>E4</v>
      </c>
      <c r="E93" s="29" t="s">
        <v>380</v>
      </c>
      <c r="F93" s="29" t="s">
        <v>687</v>
      </c>
      <c r="G93" s="16" t="s">
        <v>718</v>
      </c>
      <c r="H93" s="30" t="s">
        <v>796</v>
      </c>
      <c r="I93" s="30" t="s">
        <v>805</v>
      </c>
    </row>
    <row r="94" spans="2:9">
      <c r="B94" s="14" t="s">
        <v>719</v>
      </c>
      <c r="C94" s="15">
        <v>229</v>
      </c>
      <c r="D94" s="28" t="str">
        <f t="shared" si="0"/>
        <v>E5</v>
      </c>
      <c r="E94" s="29" t="s">
        <v>380</v>
      </c>
      <c r="F94" s="29" t="s">
        <v>687</v>
      </c>
      <c r="G94" s="16" t="s">
        <v>722</v>
      </c>
      <c r="H94" s="30" t="s">
        <v>796</v>
      </c>
      <c r="I94" s="30" t="s">
        <v>805</v>
      </c>
    </row>
    <row r="95" spans="2:9">
      <c r="B95" s="14" t="s">
        <v>723</v>
      </c>
      <c r="C95" s="15">
        <v>230</v>
      </c>
      <c r="D95" s="28" t="str">
        <f t="shared" ref="D95:D96" si="20">DEC2HEX(C95,2)</f>
        <v>E6</v>
      </c>
      <c r="E95" s="29" t="s">
        <v>380</v>
      </c>
      <c r="F95" s="29" t="s">
        <v>687</v>
      </c>
      <c r="G95" s="16" t="s">
        <v>726</v>
      </c>
      <c r="H95" s="30" t="s">
        <v>796</v>
      </c>
      <c r="I95" s="30" t="s">
        <v>805</v>
      </c>
    </row>
    <row r="96" spans="2:9">
      <c r="B96" s="14" t="s">
        <v>727</v>
      </c>
      <c r="C96" s="15">
        <v>231</v>
      </c>
      <c r="D96" s="28" t="str">
        <f t="shared" si="20"/>
        <v>E7</v>
      </c>
      <c r="E96" s="29" t="s">
        <v>380</v>
      </c>
      <c r="F96" s="29" t="s">
        <v>687</v>
      </c>
      <c r="G96" s="16" t="s">
        <v>726</v>
      </c>
      <c r="H96" s="30" t="s">
        <v>796</v>
      </c>
      <c r="I96" s="30" t="s">
        <v>805</v>
      </c>
    </row>
    <row r="97" spans="2:9">
      <c r="B97" s="14" t="s">
        <v>730</v>
      </c>
      <c r="C97" s="15">
        <v>232</v>
      </c>
      <c r="D97" s="28" t="str">
        <f t="shared" si="0"/>
        <v>E8</v>
      </c>
      <c r="E97" s="29" t="s">
        <v>380</v>
      </c>
      <c r="F97" s="29" t="s">
        <v>687</v>
      </c>
      <c r="G97" s="16" t="s">
        <v>732</v>
      </c>
      <c r="H97" s="30" t="s">
        <v>796</v>
      </c>
      <c r="I97" s="30" t="s">
        <v>808</v>
      </c>
    </row>
    <row r="98" spans="2:9">
      <c r="B98" s="14" t="s">
        <v>733</v>
      </c>
      <c r="C98" s="15">
        <v>233</v>
      </c>
      <c r="D98" s="28" t="str">
        <f t="shared" si="0"/>
        <v>E9</v>
      </c>
      <c r="E98" s="29" t="s">
        <v>380</v>
      </c>
      <c r="F98" s="29" t="s">
        <v>687</v>
      </c>
      <c r="G98" s="16" t="s">
        <v>732</v>
      </c>
      <c r="H98" s="30" t="s">
        <v>796</v>
      </c>
      <c r="I98" s="30" t="s">
        <v>808</v>
      </c>
    </row>
    <row r="99" spans="2:9">
      <c r="B99" s="14" t="s">
        <v>735</v>
      </c>
      <c r="C99" s="15">
        <v>234</v>
      </c>
      <c r="D99" s="28" t="str">
        <f t="shared" ref="D99:D104" si="21">DEC2HEX(C99,2)</f>
        <v>EA</v>
      </c>
      <c r="E99" s="29" t="s">
        <v>380</v>
      </c>
      <c r="F99" s="29" t="s">
        <v>687</v>
      </c>
      <c r="G99" s="16" t="s">
        <v>732</v>
      </c>
      <c r="H99" s="30" t="s">
        <v>796</v>
      </c>
      <c r="I99" s="30" t="s">
        <v>808</v>
      </c>
    </row>
    <row r="100" spans="2:9">
      <c r="B100" s="14" t="s">
        <v>737</v>
      </c>
      <c r="C100" s="15">
        <v>235</v>
      </c>
      <c r="D100" s="28" t="str">
        <f t="shared" si="21"/>
        <v>EB</v>
      </c>
      <c r="E100" s="29" t="s">
        <v>380</v>
      </c>
      <c r="F100" s="29" t="s">
        <v>687</v>
      </c>
      <c r="G100" s="16" t="s">
        <v>732</v>
      </c>
      <c r="H100" s="30" t="s">
        <v>796</v>
      </c>
      <c r="I100" s="30" t="s">
        <v>808</v>
      </c>
    </row>
    <row r="101" spans="2:9">
      <c r="B101" s="14" t="s">
        <v>739</v>
      </c>
      <c r="C101" s="15">
        <v>236</v>
      </c>
      <c r="D101" s="28" t="str">
        <f t="shared" si="21"/>
        <v>EC</v>
      </c>
      <c r="E101" s="29" t="s">
        <v>380</v>
      </c>
      <c r="F101" s="29" t="s">
        <v>687</v>
      </c>
      <c r="G101" s="16" t="s">
        <v>732</v>
      </c>
      <c r="H101" s="30" t="s">
        <v>796</v>
      </c>
      <c r="I101" s="30" t="s">
        <v>808</v>
      </c>
    </row>
    <row r="102" spans="2:9">
      <c r="B102" s="14" t="s">
        <v>741</v>
      </c>
      <c r="C102" s="15">
        <v>237</v>
      </c>
      <c r="D102" s="28" t="str">
        <f t="shared" si="21"/>
        <v>ED</v>
      </c>
      <c r="E102" s="29" t="s">
        <v>380</v>
      </c>
      <c r="F102" s="29" t="s">
        <v>687</v>
      </c>
      <c r="G102" s="16" t="s">
        <v>732</v>
      </c>
      <c r="H102" s="30" t="s">
        <v>796</v>
      </c>
      <c r="I102" s="30" t="s">
        <v>808</v>
      </c>
    </row>
    <row r="103" spans="2:9">
      <c r="B103" s="14" t="s">
        <v>743</v>
      </c>
      <c r="C103" s="15">
        <v>238</v>
      </c>
      <c r="D103" s="28" t="str">
        <f t="shared" si="21"/>
        <v>EE</v>
      </c>
      <c r="E103" s="29" t="s">
        <v>380</v>
      </c>
      <c r="F103" s="29" t="s">
        <v>687</v>
      </c>
      <c r="G103" s="16" t="s">
        <v>732</v>
      </c>
      <c r="H103" s="30" t="s">
        <v>796</v>
      </c>
      <c r="I103" s="30" t="s">
        <v>808</v>
      </c>
    </row>
    <row r="104" spans="2:9">
      <c r="B104" s="14" t="s">
        <v>745</v>
      </c>
      <c r="C104" s="15">
        <v>239</v>
      </c>
      <c r="D104" s="28" t="str">
        <f t="shared" si="21"/>
        <v>EF</v>
      </c>
      <c r="E104" s="29" t="s">
        <v>380</v>
      </c>
      <c r="F104" s="29" t="s">
        <v>687</v>
      </c>
      <c r="G104" s="16" t="s">
        <v>732</v>
      </c>
      <c r="H104" s="30" t="s">
        <v>796</v>
      </c>
      <c r="I104" s="30" t="s">
        <v>808</v>
      </c>
    </row>
    <row r="105" spans="2:9">
      <c r="B105" s="14" t="s">
        <v>748</v>
      </c>
      <c r="C105" s="15">
        <v>253</v>
      </c>
      <c r="D105" s="28" t="str">
        <f t="shared" si="0"/>
        <v>FD</v>
      </c>
      <c r="E105" s="29" t="s">
        <v>357</v>
      </c>
      <c r="F105" s="29" t="s">
        <v>747</v>
      </c>
      <c r="G105" s="16" t="s">
        <v>752</v>
      </c>
      <c r="H105" s="30" t="s">
        <v>796</v>
      </c>
      <c r="I105" s="30" t="s">
        <v>804</v>
      </c>
    </row>
    <row r="106" spans="2:9">
      <c r="B106" s="14" t="s">
        <v>753</v>
      </c>
      <c r="C106" s="15">
        <v>254</v>
      </c>
      <c r="D106" s="28" t="str">
        <f t="shared" si="0"/>
        <v>FE</v>
      </c>
      <c r="E106" s="29" t="s">
        <v>357</v>
      </c>
      <c r="F106" s="29" t="s">
        <v>747</v>
      </c>
      <c r="G106" s="16" t="s">
        <v>755</v>
      </c>
      <c r="H106" s="30" t="s">
        <v>796</v>
      </c>
      <c r="I106" s="30" t="s">
        <v>804</v>
      </c>
    </row>
    <row r="107" spans="2:9">
      <c r="B107" s="14" t="s">
        <v>756</v>
      </c>
      <c r="C107" s="15">
        <v>255</v>
      </c>
      <c r="D107" s="28" t="str">
        <f t="shared" si="0"/>
        <v>FF</v>
      </c>
      <c r="E107" s="29" t="s">
        <v>357</v>
      </c>
      <c r="F107" s="29" t="s">
        <v>747</v>
      </c>
      <c r="G107" s="16" t="s">
        <v>759</v>
      </c>
      <c r="H107" s="30" t="s">
        <v>796</v>
      </c>
      <c r="I107" s="30" t="s">
        <v>804</v>
      </c>
    </row>
  </sheetData>
  <dataValidations count="1">
    <dataValidation type="list" allowBlank="1" showInputMessage="1" showErrorMessage="1" sqref="E3:E107">
      <formula1>AccessTypes</formula1>
    </dataValidation>
  </dataValidations>
  <pageMargins left="0.7" right="0.7" top="0.75" bottom="0.75" header="0.3" footer="0.3"/>
  <pageSetup paperSize="1" orientation="portrait" horizontalDpi="90" verticalDpi="90"/>
  <headerFooter/>
  <ignoredErrors>
    <ignoredError sqref="C21 C7 C5 C3 C60:C68 C59 C89:C107" listDataValidation="1"/>
  </ignoredErrors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B2:I138"/>
  <sheetViews>
    <sheetView zoomScale="115" zoomScaleNormal="115" topLeftCell="A42" workbookViewId="0">
      <selection activeCell="I30" sqref="I30"/>
    </sheetView>
  </sheetViews>
  <sheetFormatPr defaultColWidth="9" defaultRowHeight="14.4"/>
  <cols>
    <col min="1" max="1" width="2.71296296296296" customWidth="1"/>
    <col min="2" max="2" width="18.5740740740741" customWidth="1"/>
    <col min="3" max="3" width="10.4259259259259" customWidth="1"/>
    <col min="4" max="4" width="17.1388888888889" customWidth="1"/>
    <col min="5" max="5" width="10.5740740740741" customWidth="1"/>
    <col min="6" max="6" width="30.287037037037" customWidth="1"/>
    <col min="7" max="7" width="10" customWidth="1"/>
    <col min="8" max="8" width="12" customWidth="1"/>
    <col min="9" max="9" width="146.574074074074" customWidth="1"/>
  </cols>
  <sheetData>
    <row r="2" spans="2:9">
      <c r="B2" s="21" t="s">
        <v>809</v>
      </c>
      <c r="C2" s="21" t="s">
        <v>784</v>
      </c>
      <c r="D2" s="21" t="s">
        <v>339</v>
      </c>
      <c r="E2" s="21" t="s">
        <v>810</v>
      </c>
      <c r="F2" s="21" t="s">
        <v>811</v>
      </c>
      <c r="G2" s="21" t="s">
        <v>342</v>
      </c>
      <c r="H2" s="21" t="s">
        <v>812</v>
      </c>
      <c r="I2" s="21" t="s">
        <v>344</v>
      </c>
    </row>
    <row r="3" spans="2:9">
      <c r="B3" s="14" t="s">
        <v>165</v>
      </c>
      <c r="C3" s="15">
        <v>1</v>
      </c>
      <c r="D3" s="15" t="s">
        <v>346</v>
      </c>
      <c r="E3" s="15">
        <v>0</v>
      </c>
      <c r="F3" s="15" t="s">
        <v>813</v>
      </c>
      <c r="G3" s="15">
        <v>0</v>
      </c>
      <c r="H3" t="s">
        <v>814</v>
      </c>
      <c r="I3" s="16" t="s">
        <v>815</v>
      </c>
    </row>
    <row r="4" spans="2:9">
      <c r="B4" s="14" t="s">
        <v>164</v>
      </c>
      <c r="C4" s="15">
        <v>1</v>
      </c>
      <c r="D4" s="15" t="s">
        <v>346</v>
      </c>
      <c r="E4" s="15">
        <v>1</v>
      </c>
      <c r="F4" s="15" t="s">
        <v>816</v>
      </c>
      <c r="G4" s="15">
        <v>0</v>
      </c>
      <c r="H4" t="s">
        <v>814</v>
      </c>
      <c r="I4" s="16" t="s">
        <v>817</v>
      </c>
    </row>
    <row r="5" spans="2:9">
      <c r="B5" s="14" t="s">
        <v>163</v>
      </c>
      <c r="C5" s="15">
        <v>1</v>
      </c>
      <c r="D5" s="15" t="s">
        <v>346</v>
      </c>
      <c r="E5" s="15">
        <v>2</v>
      </c>
      <c r="F5" s="15" t="s">
        <v>818</v>
      </c>
      <c r="G5" s="15">
        <v>0</v>
      </c>
      <c r="H5" t="s">
        <v>814</v>
      </c>
      <c r="I5" s="16" t="s">
        <v>819</v>
      </c>
    </row>
    <row r="6" spans="2:9">
      <c r="B6" s="14" t="s">
        <v>175</v>
      </c>
      <c r="C6" s="15">
        <v>1</v>
      </c>
      <c r="D6" s="15" t="s">
        <v>346</v>
      </c>
      <c r="E6" s="15">
        <v>3</v>
      </c>
      <c r="F6" s="15" t="s">
        <v>820</v>
      </c>
      <c r="G6" s="15">
        <v>0</v>
      </c>
      <c r="H6" t="s">
        <v>814</v>
      </c>
      <c r="I6" s="16" t="s">
        <v>821</v>
      </c>
    </row>
    <row r="7" spans="2:9">
      <c r="B7" s="14" t="s">
        <v>174</v>
      </c>
      <c r="C7" s="15">
        <v>1</v>
      </c>
      <c r="D7" s="15" t="s">
        <v>346</v>
      </c>
      <c r="E7" s="15">
        <v>4</v>
      </c>
      <c r="F7" s="15" t="s">
        <v>822</v>
      </c>
      <c r="G7" s="15">
        <v>0</v>
      </c>
      <c r="H7" t="s">
        <v>814</v>
      </c>
      <c r="I7" s="16" t="s">
        <v>823</v>
      </c>
    </row>
    <row r="8" spans="2:9">
      <c r="B8" s="14" t="s">
        <v>173</v>
      </c>
      <c r="C8" s="15">
        <v>1</v>
      </c>
      <c r="D8" s="15" t="s">
        <v>346</v>
      </c>
      <c r="E8" s="15">
        <v>5</v>
      </c>
      <c r="F8" s="15" t="s">
        <v>824</v>
      </c>
      <c r="G8" s="15">
        <v>0</v>
      </c>
      <c r="H8" t="s">
        <v>814</v>
      </c>
      <c r="I8" s="16" t="s">
        <v>825</v>
      </c>
    </row>
    <row r="9" spans="2:9">
      <c r="B9" s="14" t="s">
        <v>351</v>
      </c>
      <c r="C9" s="15">
        <v>1</v>
      </c>
      <c r="D9" s="15" t="s">
        <v>346</v>
      </c>
      <c r="E9" s="15">
        <v>6</v>
      </c>
      <c r="F9" s="15" t="s">
        <v>826</v>
      </c>
      <c r="G9" s="15">
        <v>0</v>
      </c>
      <c r="H9" t="s">
        <v>814</v>
      </c>
      <c r="I9" s="16" t="s">
        <v>827</v>
      </c>
    </row>
    <row r="10" spans="2:9">
      <c r="B10" s="14" t="s">
        <v>350</v>
      </c>
      <c r="C10" s="15">
        <v>1</v>
      </c>
      <c r="D10" s="15" t="s">
        <v>346</v>
      </c>
      <c r="E10" s="15">
        <v>7</v>
      </c>
      <c r="F10" s="15" t="s">
        <v>828</v>
      </c>
      <c r="G10" s="15">
        <v>0</v>
      </c>
      <c r="H10" t="s">
        <v>814</v>
      </c>
      <c r="I10" s="16" t="s">
        <v>829</v>
      </c>
    </row>
    <row r="11" spans="2:9">
      <c r="B11" s="14" t="s">
        <v>172</v>
      </c>
      <c r="C11" s="15">
        <v>1</v>
      </c>
      <c r="D11" s="15" t="s">
        <v>353</v>
      </c>
      <c r="E11" s="15">
        <v>0</v>
      </c>
      <c r="F11" s="15" t="s">
        <v>830</v>
      </c>
      <c r="G11" s="15">
        <v>0</v>
      </c>
      <c r="H11" t="s">
        <v>814</v>
      </c>
      <c r="I11" s="16" t="s">
        <v>831</v>
      </c>
    </row>
    <row r="12" spans="2:9">
      <c r="B12" s="14" t="s">
        <v>171</v>
      </c>
      <c r="C12" s="15">
        <v>1</v>
      </c>
      <c r="D12" s="15" t="s">
        <v>353</v>
      </c>
      <c r="E12" s="15">
        <v>1</v>
      </c>
      <c r="F12" s="15" t="s">
        <v>832</v>
      </c>
      <c r="G12" s="15">
        <v>0</v>
      </c>
      <c r="H12" t="s">
        <v>814</v>
      </c>
      <c r="I12" s="16" t="s">
        <v>833</v>
      </c>
    </row>
    <row r="13" spans="2:9">
      <c r="B13" s="14" t="s">
        <v>170</v>
      </c>
      <c r="C13" s="15">
        <v>1</v>
      </c>
      <c r="D13" s="15" t="s">
        <v>353</v>
      </c>
      <c r="E13" s="15">
        <v>2</v>
      </c>
      <c r="F13" s="15" t="s">
        <v>834</v>
      </c>
      <c r="G13" s="15">
        <v>0</v>
      </c>
      <c r="H13" t="s">
        <v>814</v>
      </c>
      <c r="I13" s="16" t="s">
        <v>835</v>
      </c>
    </row>
    <row r="14" spans="2:9">
      <c r="B14" s="14" t="s">
        <v>169</v>
      </c>
      <c r="C14" s="15">
        <v>1</v>
      </c>
      <c r="D14" s="15" t="s">
        <v>353</v>
      </c>
      <c r="E14" s="15">
        <v>3</v>
      </c>
      <c r="F14" s="15" t="s">
        <v>836</v>
      </c>
      <c r="G14" s="15">
        <v>0</v>
      </c>
      <c r="H14" t="s">
        <v>814</v>
      </c>
      <c r="I14" s="16" t="s">
        <v>837</v>
      </c>
    </row>
    <row r="15" spans="2:9">
      <c r="B15" s="14" t="s">
        <v>168</v>
      </c>
      <c r="C15" s="15">
        <v>1</v>
      </c>
      <c r="D15" s="15" t="s">
        <v>353</v>
      </c>
      <c r="E15" s="15">
        <v>4</v>
      </c>
      <c r="F15" s="15" t="s">
        <v>838</v>
      </c>
      <c r="G15" s="15">
        <v>0</v>
      </c>
      <c r="H15" t="s">
        <v>814</v>
      </c>
      <c r="I15" s="16" t="s">
        <v>839</v>
      </c>
    </row>
    <row r="16" spans="2:9">
      <c r="B16" s="14" t="s">
        <v>179</v>
      </c>
      <c r="C16" s="15">
        <v>1</v>
      </c>
      <c r="D16" s="15" t="s">
        <v>353</v>
      </c>
      <c r="E16" s="15">
        <v>5</v>
      </c>
      <c r="F16" s="15" t="s">
        <v>840</v>
      </c>
      <c r="G16" s="15">
        <v>0</v>
      </c>
      <c r="H16" t="s">
        <v>814</v>
      </c>
      <c r="I16" s="16" t="s">
        <v>841</v>
      </c>
    </row>
    <row r="17" spans="2:9">
      <c r="B17" s="14" t="s">
        <v>165</v>
      </c>
      <c r="C17" s="15">
        <v>1</v>
      </c>
      <c r="D17" s="15" t="s">
        <v>355</v>
      </c>
      <c r="E17" s="15">
        <v>0</v>
      </c>
      <c r="F17" s="15" t="s">
        <v>842</v>
      </c>
      <c r="G17" s="15">
        <v>0</v>
      </c>
      <c r="H17" t="s">
        <v>843</v>
      </c>
      <c r="I17" s="16" t="s">
        <v>844</v>
      </c>
    </row>
    <row r="18" spans="2:9">
      <c r="B18" s="14" t="s">
        <v>164</v>
      </c>
      <c r="C18" s="15">
        <v>1</v>
      </c>
      <c r="D18" s="15" t="s">
        <v>355</v>
      </c>
      <c r="E18" s="15">
        <v>1</v>
      </c>
      <c r="F18" s="15" t="s">
        <v>845</v>
      </c>
      <c r="G18" s="15">
        <v>0</v>
      </c>
      <c r="H18" t="s">
        <v>843</v>
      </c>
      <c r="I18" s="16" t="s">
        <v>846</v>
      </c>
    </row>
    <row r="19" spans="2:9">
      <c r="B19" s="14" t="s">
        <v>163</v>
      </c>
      <c r="C19" s="15">
        <v>1</v>
      </c>
      <c r="D19" s="15" t="s">
        <v>355</v>
      </c>
      <c r="E19" s="15">
        <v>2</v>
      </c>
      <c r="F19" s="15" t="s">
        <v>847</v>
      </c>
      <c r="G19" s="15">
        <v>0</v>
      </c>
      <c r="H19" t="s">
        <v>843</v>
      </c>
      <c r="I19" s="16" t="s">
        <v>848</v>
      </c>
    </row>
    <row r="20" spans="2:9">
      <c r="B20" s="14" t="s">
        <v>175</v>
      </c>
      <c r="C20" s="15">
        <v>1</v>
      </c>
      <c r="D20" s="15" t="s">
        <v>355</v>
      </c>
      <c r="E20" s="15">
        <v>3</v>
      </c>
      <c r="F20" s="15" t="s">
        <v>849</v>
      </c>
      <c r="G20" s="15">
        <v>0</v>
      </c>
      <c r="H20" t="s">
        <v>843</v>
      </c>
      <c r="I20" s="16" t="s">
        <v>850</v>
      </c>
    </row>
    <row r="21" spans="2:9">
      <c r="B21" s="14" t="s">
        <v>174</v>
      </c>
      <c r="C21" s="15">
        <v>1</v>
      </c>
      <c r="D21" s="15" t="s">
        <v>355</v>
      </c>
      <c r="E21" s="15">
        <v>4</v>
      </c>
      <c r="F21" s="15" t="s">
        <v>851</v>
      </c>
      <c r="G21" s="15">
        <v>0</v>
      </c>
      <c r="H21" s="9" t="s">
        <v>843</v>
      </c>
      <c r="I21" s="16" t="s">
        <v>852</v>
      </c>
    </row>
    <row r="22" spans="2:9">
      <c r="B22" s="14" t="s">
        <v>173</v>
      </c>
      <c r="C22" s="15">
        <v>1</v>
      </c>
      <c r="D22" s="15" t="s">
        <v>355</v>
      </c>
      <c r="E22" s="15">
        <v>5</v>
      </c>
      <c r="F22" s="15" t="s">
        <v>853</v>
      </c>
      <c r="G22" s="15">
        <v>0</v>
      </c>
      <c r="H22" s="9" t="s">
        <v>843</v>
      </c>
      <c r="I22" s="16" t="s">
        <v>854</v>
      </c>
    </row>
    <row r="23" spans="2:9">
      <c r="B23" s="14" t="s">
        <v>351</v>
      </c>
      <c r="C23" s="15">
        <v>1</v>
      </c>
      <c r="D23" s="15" t="s">
        <v>355</v>
      </c>
      <c r="E23" s="15">
        <v>6</v>
      </c>
      <c r="F23" s="15" t="s">
        <v>855</v>
      </c>
      <c r="G23" s="15">
        <v>0</v>
      </c>
      <c r="H23" t="s">
        <v>814</v>
      </c>
      <c r="I23" s="16" t="s">
        <v>827</v>
      </c>
    </row>
    <row r="24" spans="2:9">
      <c r="B24" s="14" t="s">
        <v>350</v>
      </c>
      <c r="C24" s="15">
        <v>1</v>
      </c>
      <c r="D24" s="15" t="s">
        <v>355</v>
      </c>
      <c r="E24" s="15">
        <v>7</v>
      </c>
      <c r="F24" s="15" t="s">
        <v>856</v>
      </c>
      <c r="G24" s="15">
        <v>0</v>
      </c>
      <c r="H24" t="s">
        <v>814</v>
      </c>
      <c r="I24" s="16" t="s">
        <v>829</v>
      </c>
    </row>
    <row r="25" spans="2:9">
      <c r="B25" s="14" t="s">
        <v>172</v>
      </c>
      <c r="C25" s="15">
        <v>1</v>
      </c>
      <c r="D25" s="15" t="s">
        <v>359</v>
      </c>
      <c r="E25" s="15">
        <v>0</v>
      </c>
      <c r="F25" s="15" t="s">
        <v>857</v>
      </c>
      <c r="G25" s="15">
        <v>0</v>
      </c>
      <c r="H25" t="s">
        <v>843</v>
      </c>
      <c r="I25" s="16" t="s">
        <v>858</v>
      </c>
    </row>
    <row r="26" spans="2:9">
      <c r="B26" s="14" t="s">
        <v>171</v>
      </c>
      <c r="C26" s="15">
        <v>1</v>
      </c>
      <c r="D26" s="15" t="s">
        <v>359</v>
      </c>
      <c r="E26" s="15">
        <v>1</v>
      </c>
      <c r="F26" s="15" t="s">
        <v>859</v>
      </c>
      <c r="G26" s="15">
        <v>0</v>
      </c>
      <c r="H26" t="s">
        <v>843</v>
      </c>
      <c r="I26" s="16" t="s">
        <v>860</v>
      </c>
    </row>
    <row r="27" spans="2:9">
      <c r="B27" s="14" t="s">
        <v>170</v>
      </c>
      <c r="C27" s="15">
        <v>1</v>
      </c>
      <c r="D27" s="15" t="s">
        <v>359</v>
      </c>
      <c r="E27" s="15">
        <v>2</v>
      </c>
      <c r="F27" s="15" t="s">
        <v>861</v>
      </c>
      <c r="G27" s="15">
        <v>0</v>
      </c>
      <c r="H27" t="s">
        <v>843</v>
      </c>
      <c r="I27" s="16" t="s">
        <v>862</v>
      </c>
    </row>
    <row r="28" spans="2:9">
      <c r="B28" s="14" t="s">
        <v>169</v>
      </c>
      <c r="C28" s="15">
        <v>1</v>
      </c>
      <c r="D28" s="15" t="s">
        <v>359</v>
      </c>
      <c r="E28" s="15">
        <v>3</v>
      </c>
      <c r="F28" s="15" t="s">
        <v>863</v>
      </c>
      <c r="G28" s="15">
        <v>0</v>
      </c>
      <c r="H28" t="s">
        <v>843</v>
      </c>
      <c r="I28" s="16" t="s">
        <v>864</v>
      </c>
    </row>
    <row r="29" spans="2:9">
      <c r="B29" s="14" t="s">
        <v>168</v>
      </c>
      <c r="C29" s="15">
        <v>1</v>
      </c>
      <c r="D29" s="15" t="s">
        <v>359</v>
      </c>
      <c r="E29" s="15">
        <v>4</v>
      </c>
      <c r="F29" s="15" t="s">
        <v>865</v>
      </c>
      <c r="G29" s="15">
        <v>0</v>
      </c>
      <c r="H29" t="s">
        <v>843</v>
      </c>
      <c r="I29" s="16" t="s">
        <v>866</v>
      </c>
    </row>
    <row r="30" spans="2:9">
      <c r="B30" s="14" t="s">
        <v>179</v>
      </c>
      <c r="C30" s="15">
        <v>1</v>
      </c>
      <c r="D30" s="15" t="s">
        <v>359</v>
      </c>
      <c r="E30" s="15">
        <v>5</v>
      </c>
      <c r="F30" s="15" t="s">
        <v>867</v>
      </c>
      <c r="G30" s="15">
        <v>0</v>
      </c>
      <c r="H30" t="s">
        <v>814</v>
      </c>
      <c r="I30" s="16" t="s">
        <v>868</v>
      </c>
    </row>
    <row r="31" spans="2:9">
      <c r="B31" s="14" t="s">
        <v>364</v>
      </c>
      <c r="C31" s="15">
        <v>5</v>
      </c>
      <c r="D31" s="15" t="s">
        <v>361</v>
      </c>
      <c r="E31" s="15">
        <v>0</v>
      </c>
      <c r="F31" s="15" t="s">
        <v>869</v>
      </c>
      <c r="G31" s="15">
        <v>0</v>
      </c>
      <c r="H31" t="s">
        <v>814</v>
      </c>
      <c r="I31" s="16" t="s">
        <v>870</v>
      </c>
    </row>
    <row r="32" spans="2:9">
      <c r="B32" s="14" t="s">
        <v>363</v>
      </c>
      <c r="C32" s="15">
        <v>2</v>
      </c>
      <c r="D32" s="15" t="s">
        <v>361</v>
      </c>
      <c r="E32" s="15">
        <v>6</v>
      </c>
      <c r="F32" s="15" t="s">
        <v>871</v>
      </c>
      <c r="G32" s="15">
        <v>0</v>
      </c>
      <c r="H32" t="s">
        <v>814</v>
      </c>
      <c r="I32" s="16" t="s">
        <v>872</v>
      </c>
    </row>
    <row r="33" spans="2:9">
      <c r="B33" s="14" t="s">
        <v>366</v>
      </c>
      <c r="C33" s="15">
        <v>8</v>
      </c>
      <c r="D33" s="15" t="s">
        <v>366</v>
      </c>
      <c r="E33" s="15">
        <v>0</v>
      </c>
      <c r="F33" s="15" t="s">
        <v>873</v>
      </c>
      <c r="G33" s="15">
        <v>0</v>
      </c>
      <c r="H33" t="s">
        <v>814</v>
      </c>
      <c r="I33" s="16" t="s">
        <v>874</v>
      </c>
    </row>
    <row r="34" spans="2:9">
      <c r="B34" s="14" t="s">
        <v>369</v>
      </c>
      <c r="C34" s="15">
        <v>4</v>
      </c>
      <c r="D34" s="15" t="s">
        <v>369</v>
      </c>
      <c r="E34" s="15">
        <v>0</v>
      </c>
      <c r="F34" s="15" t="s">
        <v>875</v>
      </c>
      <c r="G34" s="15">
        <v>0</v>
      </c>
      <c r="H34" t="s">
        <v>814</v>
      </c>
      <c r="I34" s="16" t="s">
        <v>876</v>
      </c>
    </row>
    <row r="35" spans="2:9">
      <c r="B35" s="14" t="s">
        <v>375</v>
      </c>
      <c r="C35" s="15">
        <v>2</v>
      </c>
      <c r="D35" s="15" t="s">
        <v>372</v>
      </c>
      <c r="E35" s="15">
        <v>0</v>
      </c>
      <c r="F35" s="15" t="s">
        <v>877</v>
      </c>
      <c r="G35" s="15">
        <v>0</v>
      </c>
      <c r="H35" t="s">
        <v>843</v>
      </c>
      <c r="I35" s="16" t="s">
        <v>878</v>
      </c>
    </row>
    <row r="36" spans="2:9">
      <c r="B36" s="14" t="s">
        <v>374</v>
      </c>
      <c r="C36" s="15">
        <v>1</v>
      </c>
      <c r="D36" s="15" t="s">
        <v>372</v>
      </c>
      <c r="E36" s="15">
        <v>4</v>
      </c>
      <c r="F36" s="15" t="s">
        <v>879</v>
      </c>
      <c r="G36" s="15">
        <v>0</v>
      </c>
      <c r="H36" t="s">
        <v>843</v>
      </c>
      <c r="I36" s="16" t="s">
        <v>880</v>
      </c>
    </row>
    <row r="37" spans="2:9">
      <c r="B37" s="14" t="s">
        <v>542</v>
      </c>
      <c r="C37" s="15">
        <v>3</v>
      </c>
      <c r="D37" s="15" t="s">
        <v>540</v>
      </c>
      <c r="E37" s="15">
        <v>3</v>
      </c>
      <c r="F37" s="15" t="s">
        <v>881</v>
      </c>
      <c r="G37" s="15">
        <v>0</v>
      </c>
      <c r="H37" t="s">
        <v>814</v>
      </c>
      <c r="I37" s="16" t="s">
        <v>882</v>
      </c>
    </row>
    <row r="38" spans="2:9">
      <c r="B38" s="14" t="s">
        <v>546</v>
      </c>
      <c r="C38" s="15">
        <v>8</v>
      </c>
      <c r="D38" s="15" t="s">
        <v>544</v>
      </c>
      <c r="E38" s="15">
        <v>0</v>
      </c>
      <c r="F38" s="15" t="s">
        <v>883</v>
      </c>
      <c r="G38" s="15">
        <v>0</v>
      </c>
      <c r="H38" t="s">
        <v>814</v>
      </c>
      <c r="I38" s="16" t="s">
        <v>884</v>
      </c>
    </row>
    <row r="39" spans="2:9">
      <c r="B39" s="14" t="s">
        <v>550</v>
      </c>
      <c r="C39" s="15">
        <v>8</v>
      </c>
      <c r="D39" s="15" t="s">
        <v>548</v>
      </c>
      <c r="E39" s="15">
        <v>0</v>
      </c>
      <c r="F39" s="15" t="s">
        <v>885</v>
      </c>
      <c r="G39" s="15">
        <v>0</v>
      </c>
      <c r="H39" t="s">
        <v>814</v>
      </c>
      <c r="I39" s="16" t="s">
        <v>886</v>
      </c>
    </row>
    <row r="40" spans="2:9">
      <c r="B40" s="14" t="s">
        <v>554</v>
      </c>
      <c r="C40" s="15">
        <v>8</v>
      </c>
      <c r="D40" s="15" t="s">
        <v>552</v>
      </c>
      <c r="E40" s="15">
        <v>0</v>
      </c>
      <c r="F40" s="15" t="s">
        <v>887</v>
      </c>
      <c r="G40" s="15">
        <v>0</v>
      </c>
      <c r="H40" t="s">
        <v>814</v>
      </c>
      <c r="I40" s="16" t="s">
        <v>888</v>
      </c>
    </row>
    <row r="41" spans="2:9">
      <c r="B41" s="14" t="s">
        <v>558</v>
      </c>
      <c r="C41" s="15">
        <v>8</v>
      </c>
      <c r="D41" s="15" t="s">
        <v>556</v>
      </c>
      <c r="E41" s="15">
        <v>0</v>
      </c>
      <c r="F41" s="15" t="s">
        <v>889</v>
      </c>
      <c r="G41" s="15">
        <v>0</v>
      </c>
      <c r="H41" t="s">
        <v>814</v>
      </c>
      <c r="I41" s="16" t="s">
        <v>890</v>
      </c>
    </row>
    <row r="42" spans="2:9">
      <c r="B42" s="14" t="s">
        <v>562</v>
      </c>
      <c r="C42" s="15">
        <v>8</v>
      </c>
      <c r="D42" s="15" t="s">
        <v>560</v>
      </c>
      <c r="E42" s="15">
        <v>0</v>
      </c>
      <c r="F42" s="15" t="s">
        <v>891</v>
      </c>
      <c r="G42" s="15">
        <v>0</v>
      </c>
      <c r="H42" t="s">
        <v>814</v>
      </c>
      <c r="I42" s="16" t="s">
        <v>892</v>
      </c>
    </row>
    <row r="43" spans="2:9">
      <c r="B43" s="14" t="s">
        <v>566</v>
      </c>
      <c r="C43" s="15">
        <v>8</v>
      </c>
      <c r="D43" s="15" t="s">
        <v>564</v>
      </c>
      <c r="E43" s="15">
        <v>0</v>
      </c>
      <c r="F43" s="15" t="s">
        <v>893</v>
      </c>
      <c r="G43" s="15">
        <v>0</v>
      </c>
      <c r="H43" t="s">
        <v>814</v>
      </c>
      <c r="I43" s="16" t="s">
        <v>894</v>
      </c>
    </row>
    <row r="44" spans="2:9">
      <c r="B44" s="14" t="s">
        <v>570</v>
      </c>
      <c r="C44" s="15">
        <v>8</v>
      </c>
      <c r="D44" s="15" t="s">
        <v>568</v>
      </c>
      <c r="E44" s="15">
        <v>0</v>
      </c>
      <c r="F44" s="15" t="s">
        <v>895</v>
      </c>
      <c r="G44" s="15">
        <v>0</v>
      </c>
      <c r="H44" t="s">
        <v>814</v>
      </c>
      <c r="I44" s="16" t="s">
        <v>896</v>
      </c>
    </row>
    <row r="45" spans="2:9">
      <c r="B45" s="14" t="s">
        <v>574</v>
      </c>
      <c r="C45" s="15">
        <v>8</v>
      </c>
      <c r="D45" s="15" t="s">
        <v>572</v>
      </c>
      <c r="E45" s="15">
        <v>0</v>
      </c>
      <c r="F45" s="15" t="s">
        <v>897</v>
      </c>
      <c r="G45" s="15">
        <v>0</v>
      </c>
      <c r="H45" t="s">
        <v>814</v>
      </c>
      <c r="I45" s="16" t="s">
        <v>898</v>
      </c>
    </row>
    <row r="46" spans="2:9">
      <c r="B46" s="14" t="s">
        <v>580</v>
      </c>
      <c r="C46" s="15">
        <v>1</v>
      </c>
      <c r="D46" s="15" t="s">
        <v>577</v>
      </c>
      <c r="E46" s="15">
        <v>0</v>
      </c>
      <c r="F46" s="15" t="s">
        <v>899</v>
      </c>
      <c r="G46" s="15">
        <v>0</v>
      </c>
      <c r="H46" t="s">
        <v>814</v>
      </c>
      <c r="I46" s="16" t="s">
        <v>900</v>
      </c>
    </row>
    <row r="47" spans="2:9">
      <c r="B47" s="14" t="s">
        <v>577</v>
      </c>
      <c r="C47" s="15">
        <v>2</v>
      </c>
      <c r="D47" s="15" t="s">
        <v>577</v>
      </c>
      <c r="E47" s="15">
        <v>4</v>
      </c>
      <c r="F47" s="15" t="s">
        <v>901</v>
      </c>
      <c r="G47" s="15">
        <v>0</v>
      </c>
      <c r="H47" t="s">
        <v>843</v>
      </c>
      <c r="I47" s="16" t="s">
        <v>902</v>
      </c>
    </row>
    <row r="48" spans="2:9">
      <c r="B48" s="14" t="s">
        <v>579</v>
      </c>
      <c r="C48" s="15">
        <v>1</v>
      </c>
      <c r="D48" s="15" t="s">
        <v>577</v>
      </c>
      <c r="E48" s="15">
        <v>7</v>
      </c>
      <c r="F48" s="15" t="s">
        <v>903</v>
      </c>
      <c r="G48" s="15">
        <v>0</v>
      </c>
      <c r="H48" t="s">
        <v>814</v>
      </c>
      <c r="I48" s="16" t="s">
        <v>904</v>
      </c>
    </row>
    <row r="49" spans="2:9">
      <c r="B49" s="14" t="s">
        <v>585</v>
      </c>
      <c r="C49" s="15">
        <v>1</v>
      </c>
      <c r="D49" s="15" t="s">
        <v>582</v>
      </c>
      <c r="E49" s="15">
        <v>7</v>
      </c>
      <c r="F49" s="15" t="s">
        <v>905</v>
      </c>
      <c r="G49" s="15">
        <v>0</v>
      </c>
      <c r="H49" t="s">
        <v>843</v>
      </c>
      <c r="I49" s="16" t="s">
        <v>906</v>
      </c>
    </row>
    <row r="50" spans="2:9">
      <c r="B50" s="14" t="s">
        <v>589</v>
      </c>
      <c r="C50" s="15">
        <v>1</v>
      </c>
      <c r="D50" s="15" t="s">
        <v>587</v>
      </c>
      <c r="E50" s="15">
        <v>0</v>
      </c>
      <c r="F50" s="15" t="s">
        <v>907</v>
      </c>
      <c r="G50" s="15">
        <v>0</v>
      </c>
      <c r="H50" t="s">
        <v>814</v>
      </c>
      <c r="I50" s="16" t="s">
        <v>908</v>
      </c>
    </row>
    <row r="51" spans="2:9">
      <c r="B51" s="14" t="s">
        <v>593</v>
      </c>
      <c r="C51" s="15">
        <v>7</v>
      </c>
      <c r="D51" s="15" t="s">
        <v>591</v>
      </c>
      <c r="E51" s="15">
        <v>0</v>
      </c>
      <c r="F51" s="15" t="s">
        <v>909</v>
      </c>
      <c r="G51" s="15">
        <v>0</v>
      </c>
      <c r="H51" s="9" t="s">
        <v>814</v>
      </c>
      <c r="I51" s="16" t="s">
        <v>910</v>
      </c>
    </row>
    <row r="52" spans="2:9">
      <c r="B52" s="14" t="s">
        <v>597</v>
      </c>
      <c r="C52" s="15">
        <v>7</v>
      </c>
      <c r="D52" s="15" t="s">
        <v>595</v>
      </c>
      <c r="E52" s="15">
        <v>0</v>
      </c>
      <c r="F52" s="15" t="s">
        <v>911</v>
      </c>
      <c r="G52" s="15">
        <v>0</v>
      </c>
      <c r="H52" s="9" t="s">
        <v>814</v>
      </c>
      <c r="I52" s="16" t="s">
        <v>912</v>
      </c>
    </row>
    <row r="53" spans="2:9">
      <c r="B53" s="14" t="s">
        <v>601</v>
      </c>
      <c r="C53" s="15">
        <v>2</v>
      </c>
      <c r="D53" s="15" t="s">
        <v>598</v>
      </c>
      <c r="E53" s="15">
        <v>0</v>
      </c>
      <c r="F53" s="15" t="s">
        <v>913</v>
      </c>
      <c r="G53" s="15">
        <v>0</v>
      </c>
      <c r="H53" s="9" t="s">
        <v>843</v>
      </c>
      <c r="I53" s="17" t="s">
        <v>914</v>
      </c>
    </row>
    <row r="54" spans="2:9">
      <c r="B54" s="14" t="s">
        <v>600</v>
      </c>
      <c r="C54" s="15">
        <v>2</v>
      </c>
      <c r="D54" s="15" t="s">
        <v>598</v>
      </c>
      <c r="E54" s="15">
        <v>4</v>
      </c>
      <c r="F54" s="15" t="s">
        <v>915</v>
      </c>
      <c r="G54" s="15">
        <v>0</v>
      </c>
      <c r="H54" s="9" t="s">
        <v>843</v>
      </c>
      <c r="I54" s="17" t="s">
        <v>916</v>
      </c>
    </row>
    <row r="55" spans="2:9">
      <c r="B55" s="14" t="s">
        <v>605</v>
      </c>
      <c r="C55" s="15">
        <v>8</v>
      </c>
      <c r="D55" s="15" t="s">
        <v>603</v>
      </c>
      <c r="E55" s="15">
        <v>0</v>
      </c>
      <c r="F55" s="15" t="s">
        <v>917</v>
      </c>
      <c r="G55" s="15">
        <v>0</v>
      </c>
      <c r="H55" s="9" t="s">
        <v>843</v>
      </c>
      <c r="I55" s="17" t="s">
        <v>918</v>
      </c>
    </row>
    <row r="56" spans="2:9">
      <c r="B56" s="14" t="s">
        <v>609</v>
      </c>
      <c r="C56" s="15">
        <v>8</v>
      </c>
      <c r="D56" s="15" t="s">
        <v>607</v>
      </c>
      <c r="E56" s="15">
        <v>0</v>
      </c>
      <c r="F56" s="15" t="s">
        <v>919</v>
      </c>
      <c r="G56" s="15">
        <v>0</v>
      </c>
      <c r="H56" s="9" t="s">
        <v>843</v>
      </c>
      <c r="I56" s="17" t="s">
        <v>920</v>
      </c>
    </row>
    <row r="57" spans="2:9">
      <c r="B57" s="14" t="s">
        <v>620</v>
      </c>
      <c r="C57" s="15">
        <v>1</v>
      </c>
      <c r="D57" s="15" t="s">
        <v>611</v>
      </c>
      <c r="E57" s="15">
        <v>0</v>
      </c>
      <c r="F57" s="15" t="s">
        <v>921</v>
      </c>
      <c r="G57" s="15">
        <v>0</v>
      </c>
      <c r="H57" s="9" t="s">
        <v>843</v>
      </c>
      <c r="I57" s="16" t="s">
        <v>922</v>
      </c>
    </row>
    <row r="58" spans="2:9">
      <c r="B58" s="14" t="s">
        <v>619</v>
      </c>
      <c r="C58" s="15">
        <v>1</v>
      </c>
      <c r="D58" s="15" t="s">
        <v>611</v>
      </c>
      <c r="E58" s="15">
        <v>1</v>
      </c>
      <c r="F58" s="15" t="s">
        <v>923</v>
      </c>
      <c r="G58" s="15">
        <v>0</v>
      </c>
      <c r="H58" s="9" t="s">
        <v>843</v>
      </c>
      <c r="I58" s="16" t="s">
        <v>924</v>
      </c>
    </row>
    <row r="59" spans="2:9">
      <c r="B59" s="14" t="s">
        <v>618</v>
      </c>
      <c r="C59" s="15">
        <v>1</v>
      </c>
      <c r="D59" s="15" t="s">
        <v>611</v>
      </c>
      <c r="E59" s="15">
        <v>2</v>
      </c>
      <c r="F59" s="15" t="s">
        <v>925</v>
      </c>
      <c r="G59" s="15">
        <v>0</v>
      </c>
      <c r="H59" s="9" t="s">
        <v>843</v>
      </c>
      <c r="I59" s="16" t="s">
        <v>926</v>
      </c>
    </row>
    <row r="60" spans="2:9">
      <c r="B60" s="14" t="s">
        <v>617</v>
      </c>
      <c r="C60" s="15">
        <v>1</v>
      </c>
      <c r="D60" s="15" t="s">
        <v>611</v>
      </c>
      <c r="E60" s="15">
        <v>3</v>
      </c>
      <c r="F60" s="15" t="s">
        <v>927</v>
      </c>
      <c r="G60" s="15">
        <v>0</v>
      </c>
      <c r="H60" s="9" t="s">
        <v>843</v>
      </c>
      <c r="I60" s="16" t="s">
        <v>928</v>
      </c>
    </row>
    <row r="61" spans="2:9">
      <c r="B61" s="14" t="s">
        <v>616</v>
      </c>
      <c r="C61" s="15">
        <v>1</v>
      </c>
      <c r="D61" s="15" t="s">
        <v>611</v>
      </c>
      <c r="E61" s="15">
        <v>4</v>
      </c>
      <c r="F61" s="15" t="s">
        <v>929</v>
      </c>
      <c r="G61" s="15">
        <v>0</v>
      </c>
      <c r="H61" s="9" t="s">
        <v>843</v>
      </c>
      <c r="I61" s="16" t="s">
        <v>930</v>
      </c>
    </row>
    <row r="62" spans="2:9">
      <c r="B62" s="14" t="s">
        <v>615</v>
      </c>
      <c r="C62" s="15">
        <v>1</v>
      </c>
      <c r="D62" s="15" t="s">
        <v>611</v>
      </c>
      <c r="E62" s="15">
        <v>5</v>
      </c>
      <c r="F62" s="15" t="s">
        <v>931</v>
      </c>
      <c r="G62" s="15">
        <v>0</v>
      </c>
      <c r="H62" s="9" t="s">
        <v>843</v>
      </c>
      <c r="I62" s="16" t="s">
        <v>932</v>
      </c>
    </row>
    <row r="63" spans="2:9">
      <c r="B63" s="14" t="s">
        <v>614</v>
      </c>
      <c r="C63" s="15">
        <v>1</v>
      </c>
      <c r="D63" s="15" t="s">
        <v>611</v>
      </c>
      <c r="E63" s="15">
        <v>6</v>
      </c>
      <c r="F63" s="15" t="s">
        <v>933</v>
      </c>
      <c r="G63" s="15">
        <v>0</v>
      </c>
      <c r="H63" s="9" t="s">
        <v>843</v>
      </c>
      <c r="I63" s="16" t="s">
        <v>934</v>
      </c>
    </row>
    <row r="64" spans="2:9">
      <c r="B64" s="14" t="s">
        <v>613</v>
      </c>
      <c r="C64" s="15">
        <v>1</v>
      </c>
      <c r="D64" s="15" t="s">
        <v>611</v>
      </c>
      <c r="E64" s="15">
        <v>7</v>
      </c>
      <c r="F64" s="15" t="s">
        <v>935</v>
      </c>
      <c r="G64" s="15">
        <v>0</v>
      </c>
      <c r="H64" s="9" t="s">
        <v>843</v>
      </c>
      <c r="I64" s="16" t="s">
        <v>936</v>
      </c>
    </row>
    <row r="65" spans="2:9">
      <c r="B65" s="14" t="s">
        <v>630</v>
      </c>
      <c r="C65" s="15">
        <v>1</v>
      </c>
      <c r="D65" s="15" t="s">
        <v>622</v>
      </c>
      <c r="E65" s="15">
        <v>0</v>
      </c>
      <c r="F65" s="15" t="s">
        <v>937</v>
      </c>
      <c r="G65" s="15">
        <v>0</v>
      </c>
      <c r="H65" s="9" t="s">
        <v>843</v>
      </c>
      <c r="I65" s="16" t="s">
        <v>938</v>
      </c>
    </row>
    <row r="66" spans="2:9">
      <c r="B66" s="14" t="s">
        <v>629</v>
      </c>
      <c r="C66" s="15">
        <v>1</v>
      </c>
      <c r="D66" s="15" t="s">
        <v>622</v>
      </c>
      <c r="E66" s="15">
        <v>1</v>
      </c>
      <c r="F66" s="15" t="s">
        <v>939</v>
      </c>
      <c r="G66" s="15">
        <v>0</v>
      </c>
      <c r="H66" s="9" t="s">
        <v>843</v>
      </c>
      <c r="I66" s="16" t="s">
        <v>940</v>
      </c>
    </row>
    <row r="67" spans="2:9">
      <c r="B67" s="14" t="s">
        <v>628</v>
      </c>
      <c r="C67" s="15">
        <v>1</v>
      </c>
      <c r="D67" s="15" t="s">
        <v>622</v>
      </c>
      <c r="E67" s="15">
        <v>2</v>
      </c>
      <c r="F67" s="15" t="s">
        <v>941</v>
      </c>
      <c r="G67" s="15">
        <v>0</v>
      </c>
      <c r="H67" s="9" t="s">
        <v>843</v>
      </c>
      <c r="I67" s="16" t="s">
        <v>942</v>
      </c>
    </row>
    <row r="68" spans="2:9">
      <c r="B68" s="14" t="s">
        <v>627</v>
      </c>
      <c r="C68" s="15">
        <v>1</v>
      </c>
      <c r="D68" s="15" t="s">
        <v>622</v>
      </c>
      <c r="E68" s="15">
        <v>3</v>
      </c>
      <c r="F68" s="15" t="s">
        <v>943</v>
      </c>
      <c r="G68" s="15">
        <v>0</v>
      </c>
      <c r="H68" s="9" t="s">
        <v>843</v>
      </c>
      <c r="I68" s="16" t="s">
        <v>944</v>
      </c>
    </row>
    <row r="69" spans="2:9">
      <c r="B69" s="14" t="s">
        <v>90</v>
      </c>
      <c r="C69" s="15">
        <v>1</v>
      </c>
      <c r="D69" s="15" t="s">
        <v>622</v>
      </c>
      <c r="E69" s="15">
        <v>4</v>
      </c>
      <c r="F69" s="15" t="s">
        <v>945</v>
      </c>
      <c r="G69" s="15">
        <v>0</v>
      </c>
      <c r="H69" s="9" t="s">
        <v>843</v>
      </c>
      <c r="I69" s="16" t="s">
        <v>946</v>
      </c>
    </row>
    <row r="70" spans="2:9">
      <c r="B70" s="14" t="s">
        <v>626</v>
      </c>
      <c r="C70" s="15">
        <v>1</v>
      </c>
      <c r="D70" s="15" t="s">
        <v>622</v>
      </c>
      <c r="E70" s="15">
        <v>5</v>
      </c>
      <c r="F70" s="15" t="s">
        <v>947</v>
      </c>
      <c r="G70" s="15">
        <v>0</v>
      </c>
      <c r="H70" s="9" t="s">
        <v>843</v>
      </c>
      <c r="I70" s="16" t="s">
        <v>948</v>
      </c>
    </row>
    <row r="71" spans="2:9">
      <c r="B71" s="14" t="s">
        <v>625</v>
      </c>
      <c r="C71" s="15">
        <v>1</v>
      </c>
      <c r="D71" s="15" t="s">
        <v>622</v>
      </c>
      <c r="E71" s="15">
        <v>6</v>
      </c>
      <c r="F71" s="15" t="s">
        <v>949</v>
      </c>
      <c r="G71" s="15">
        <v>0</v>
      </c>
      <c r="H71" s="9" t="s">
        <v>843</v>
      </c>
      <c r="I71" s="16" t="s">
        <v>950</v>
      </c>
    </row>
    <row r="72" spans="2:9">
      <c r="B72" s="14" t="s">
        <v>624</v>
      </c>
      <c r="C72" s="15">
        <v>1</v>
      </c>
      <c r="D72" s="15" t="s">
        <v>622</v>
      </c>
      <c r="E72" s="15">
        <v>7</v>
      </c>
      <c r="F72" s="15" t="s">
        <v>951</v>
      </c>
      <c r="G72" s="15">
        <v>0</v>
      </c>
      <c r="H72" s="9" t="s">
        <v>843</v>
      </c>
      <c r="I72" s="16" t="s">
        <v>952</v>
      </c>
    </row>
    <row r="73" spans="2:9">
      <c r="B73" s="14" t="s">
        <v>636</v>
      </c>
      <c r="C73" s="15">
        <v>1</v>
      </c>
      <c r="D73" s="15" t="s">
        <v>631</v>
      </c>
      <c r="E73" s="15">
        <v>0</v>
      </c>
      <c r="F73" s="15" t="s">
        <v>953</v>
      </c>
      <c r="G73" s="15">
        <v>0</v>
      </c>
      <c r="H73" s="9" t="s">
        <v>843</v>
      </c>
      <c r="I73" s="16" t="s">
        <v>954</v>
      </c>
    </row>
    <row r="74" spans="2:9">
      <c r="B74" s="14" t="s">
        <v>635</v>
      </c>
      <c r="C74" s="15">
        <v>1</v>
      </c>
      <c r="D74" s="15" t="s">
        <v>631</v>
      </c>
      <c r="E74" s="15">
        <v>1</v>
      </c>
      <c r="F74" s="15" t="s">
        <v>955</v>
      </c>
      <c r="G74" s="15">
        <v>0</v>
      </c>
      <c r="H74" s="9" t="s">
        <v>843</v>
      </c>
      <c r="I74" s="16" t="s">
        <v>956</v>
      </c>
    </row>
    <row r="75" spans="2:9">
      <c r="B75" s="14" t="s">
        <v>634</v>
      </c>
      <c r="C75" s="15">
        <v>1</v>
      </c>
      <c r="D75" s="15" t="s">
        <v>631</v>
      </c>
      <c r="E75" s="15">
        <v>2</v>
      </c>
      <c r="F75" s="15" t="s">
        <v>957</v>
      </c>
      <c r="G75" s="15">
        <v>0</v>
      </c>
      <c r="H75" s="9" t="s">
        <v>843</v>
      </c>
      <c r="I75" s="16" t="s">
        <v>958</v>
      </c>
    </row>
    <row r="76" ht="86.4" spans="2:9">
      <c r="B76" s="14" t="s">
        <v>633</v>
      </c>
      <c r="C76" s="15">
        <v>5</v>
      </c>
      <c r="D76" s="15" t="s">
        <v>631</v>
      </c>
      <c r="E76" s="15">
        <v>3</v>
      </c>
      <c r="F76" s="15" t="s">
        <v>959</v>
      </c>
      <c r="G76" s="15">
        <v>0</v>
      </c>
      <c r="H76" s="9" t="s">
        <v>843</v>
      </c>
      <c r="I76" s="17" t="s">
        <v>960</v>
      </c>
    </row>
    <row r="77" spans="2:9">
      <c r="B77" s="14" t="s">
        <v>640</v>
      </c>
      <c r="C77" s="15">
        <v>1</v>
      </c>
      <c r="D77" s="15" t="s">
        <v>637</v>
      </c>
      <c r="E77" s="15">
        <v>0</v>
      </c>
      <c r="F77" s="15" t="s">
        <v>961</v>
      </c>
      <c r="G77" s="15">
        <v>0</v>
      </c>
      <c r="H77" s="9" t="s">
        <v>843</v>
      </c>
      <c r="I77" s="17" t="s">
        <v>962</v>
      </c>
    </row>
    <row r="78" spans="2:9">
      <c r="B78" s="14" t="s">
        <v>639</v>
      </c>
      <c r="C78" s="15">
        <v>1</v>
      </c>
      <c r="D78" s="15" t="s">
        <v>637</v>
      </c>
      <c r="E78" s="15">
        <v>1</v>
      </c>
      <c r="F78" s="15" t="s">
        <v>963</v>
      </c>
      <c r="G78" s="15">
        <v>0</v>
      </c>
      <c r="H78" s="9" t="s">
        <v>843</v>
      </c>
      <c r="I78" s="17" t="s">
        <v>964</v>
      </c>
    </row>
    <row r="79" spans="2:9">
      <c r="B79" s="14" t="s">
        <v>647</v>
      </c>
      <c r="C79" s="15">
        <v>2</v>
      </c>
      <c r="D79" s="15" t="s">
        <v>642</v>
      </c>
      <c r="E79" s="15">
        <v>0</v>
      </c>
      <c r="F79" s="15" t="s">
        <v>965</v>
      </c>
      <c r="G79" s="15">
        <v>0</v>
      </c>
      <c r="H79" s="9" t="s">
        <v>814</v>
      </c>
      <c r="I79" s="17" t="s">
        <v>966</v>
      </c>
    </row>
    <row r="80" spans="2:9">
      <c r="B80" s="14" t="s">
        <v>646</v>
      </c>
      <c r="C80" s="15">
        <v>2</v>
      </c>
      <c r="D80" s="15" t="s">
        <v>642</v>
      </c>
      <c r="E80" s="15">
        <v>2</v>
      </c>
      <c r="F80" s="15" t="s">
        <v>967</v>
      </c>
      <c r="G80" s="15">
        <v>0</v>
      </c>
      <c r="H80" s="9" t="s">
        <v>814</v>
      </c>
      <c r="I80" s="17" t="s">
        <v>968</v>
      </c>
    </row>
    <row r="81" spans="2:9">
      <c r="B81" s="14" t="s">
        <v>645</v>
      </c>
      <c r="C81" s="15">
        <v>2</v>
      </c>
      <c r="D81" s="15" t="s">
        <v>642</v>
      </c>
      <c r="E81" s="15">
        <v>4</v>
      </c>
      <c r="F81" s="15" t="s">
        <v>969</v>
      </c>
      <c r="G81" s="15">
        <v>0</v>
      </c>
      <c r="H81" s="9" t="s">
        <v>814</v>
      </c>
      <c r="I81" s="17" t="s">
        <v>970</v>
      </c>
    </row>
    <row r="82" spans="2:9">
      <c r="B82" s="14" t="s">
        <v>644</v>
      </c>
      <c r="C82" s="15">
        <v>2</v>
      </c>
      <c r="D82" s="15" t="s">
        <v>642</v>
      </c>
      <c r="E82" s="15">
        <v>6</v>
      </c>
      <c r="F82" s="15" t="s">
        <v>971</v>
      </c>
      <c r="G82" s="15">
        <v>0</v>
      </c>
      <c r="H82" s="9" t="s">
        <v>814</v>
      </c>
      <c r="I82" s="17" t="s">
        <v>972</v>
      </c>
    </row>
    <row r="83" spans="2:9">
      <c r="B83" s="14" t="s">
        <v>654</v>
      </c>
      <c r="C83" s="15">
        <v>2</v>
      </c>
      <c r="D83" s="15" t="s">
        <v>649</v>
      </c>
      <c r="E83" s="15">
        <v>0</v>
      </c>
      <c r="F83" s="15" t="s">
        <v>973</v>
      </c>
      <c r="G83" s="15">
        <v>0</v>
      </c>
      <c r="H83" s="9" t="s">
        <v>814</v>
      </c>
      <c r="I83" s="17" t="s">
        <v>974</v>
      </c>
    </row>
    <row r="84" spans="2:9">
      <c r="B84" s="14" t="s">
        <v>653</v>
      </c>
      <c r="C84" s="15">
        <v>2</v>
      </c>
      <c r="D84" s="15" t="s">
        <v>649</v>
      </c>
      <c r="E84" s="15">
        <v>2</v>
      </c>
      <c r="F84" s="15" t="s">
        <v>975</v>
      </c>
      <c r="G84" s="15">
        <v>0</v>
      </c>
      <c r="H84" s="9" t="s">
        <v>814</v>
      </c>
      <c r="I84" s="17" t="s">
        <v>976</v>
      </c>
    </row>
    <row r="85" spans="2:9">
      <c r="B85" s="14" t="s">
        <v>652</v>
      </c>
      <c r="C85" s="15">
        <v>2</v>
      </c>
      <c r="D85" s="15" t="s">
        <v>649</v>
      </c>
      <c r="E85" s="15">
        <v>4</v>
      </c>
      <c r="F85" s="15" t="s">
        <v>977</v>
      </c>
      <c r="G85" s="15">
        <v>0</v>
      </c>
      <c r="H85" s="9" t="s">
        <v>814</v>
      </c>
      <c r="I85" s="17" t="s">
        <v>978</v>
      </c>
    </row>
    <row r="86" spans="2:9">
      <c r="B86" s="14" t="s">
        <v>651</v>
      </c>
      <c r="C86" s="15">
        <v>2</v>
      </c>
      <c r="D86" s="15" t="s">
        <v>649</v>
      </c>
      <c r="E86" s="15">
        <v>6</v>
      </c>
      <c r="F86" s="15" t="s">
        <v>979</v>
      </c>
      <c r="G86" s="15">
        <v>0</v>
      </c>
      <c r="H86" s="9" t="s">
        <v>814</v>
      </c>
      <c r="I86" s="17" t="s">
        <v>980</v>
      </c>
    </row>
    <row r="87" spans="2:9">
      <c r="B87" s="14" t="s">
        <v>660</v>
      </c>
      <c r="C87" s="15">
        <v>2</v>
      </c>
      <c r="D87" s="15" t="s">
        <v>655</v>
      </c>
      <c r="E87" s="15">
        <v>0</v>
      </c>
      <c r="F87" s="15" t="s">
        <v>981</v>
      </c>
      <c r="G87" s="15">
        <v>0</v>
      </c>
      <c r="H87" s="9" t="s">
        <v>814</v>
      </c>
      <c r="I87" s="17" t="s">
        <v>982</v>
      </c>
    </row>
    <row r="88" spans="2:9">
      <c r="B88" s="14" t="s">
        <v>659</v>
      </c>
      <c r="C88" s="15">
        <v>2</v>
      </c>
      <c r="D88" s="15" t="s">
        <v>655</v>
      </c>
      <c r="E88" s="15">
        <v>2</v>
      </c>
      <c r="F88" s="15" t="s">
        <v>983</v>
      </c>
      <c r="G88" s="15">
        <v>0</v>
      </c>
      <c r="H88" s="9" t="s">
        <v>814</v>
      </c>
      <c r="I88" s="17" t="s">
        <v>984</v>
      </c>
    </row>
    <row r="89" spans="2:9">
      <c r="B89" s="14" t="s">
        <v>658</v>
      </c>
      <c r="C89" s="15">
        <v>2</v>
      </c>
      <c r="D89" s="15" t="s">
        <v>655</v>
      </c>
      <c r="E89" s="15">
        <v>4</v>
      </c>
      <c r="F89" s="15" t="s">
        <v>985</v>
      </c>
      <c r="G89" s="15">
        <v>0</v>
      </c>
      <c r="H89" s="9" t="s">
        <v>814</v>
      </c>
      <c r="I89" s="17" t="s">
        <v>986</v>
      </c>
    </row>
    <row r="90" spans="2:9">
      <c r="B90" s="14" t="s">
        <v>657</v>
      </c>
      <c r="C90" s="15">
        <v>2</v>
      </c>
      <c r="D90" s="15" t="s">
        <v>655</v>
      </c>
      <c r="E90" s="15">
        <v>6</v>
      </c>
      <c r="F90" s="15" t="s">
        <v>987</v>
      </c>
      <c r="G90" s="15">
        <v>0</v>
      </c>
      <c r="H90" s="9" t="s">
        <v>814</v>
      </c>
      <c r="I90" s="17" t="s">
        <v>988</v>
      </c>
    </row>
    <row r="91" spans="2:9">
      <c r="B91" s="14" t="s">
        <v>666</v>
      </c>
      <c r="C91" s="15">
        <v>2</v>
      </c>
      <c r="D91" s="15" t="s">
        <v>661</v>
      </c>
      <c r="E91" s="15">
        <v>0</v>
      </c>
      <c r="F91" s="15" t="s">
        <v>989</v>
      </c>
      <c r="G91" s="15">
        <v>0</v>
      </c>
      <c r="H91" s="9" t="s">
        <v>814</v>
      </c>
      <c r="I91" s="17" t="s">
        <v>990</v>
      </c>
    </row>
    <row r="92" spans="2:9">
      <c r="B92" s="14" t="s">
        <v>665</v>
      </c>
      <c r="C92" s="15">
        <v>2</v>
      </c>
      <c r="D92" s="15" t="s">
        <v>661</v>
      </c>
      <c r="E92" s="15">
        <v>2</v>
      </c>
      <c r="F92" s="15" t="s">
        <v>991</v>
      </c>
      <c r="G92" s="15">
        <v>0</v>
      </c>
      <c r="H92" s="9" t="s">
        <v>814</v>
      </c>
      <c r="I92" s="17" t="s">
        <v>992</v>
      </c>
    </row>
    <row r="93" spans="2:9">
      <c r="B93" s="14" t="s">
        <v>664</v>
      </c>
      <c r="C93" s="15">
        <v>2</v>
      </c>
      <c r="D93" s="15" t="s">
        <v>661</v>
      </c>
      <c r="E93" s="15">
        <v>4</v>
      </c>
      <c r="F93" s="15" t="s">
        <v>993</v>
      </c>
      <c r="G93" s="15">
        <v>0</v>
      </c>
      <c r="H93" s="9" t="s">
        <v>814</v>
      </c>
      <c r="I93" s="17" t="s">
        <v>994</v>
      </c>
    </row>
    <row r="94" spans="2:9">
      <c r="B94" s="14" t="s">
        <v>663</v>
      </c>
      <c r="C94" s="15">
        <v>2</v>
      </c>
      <c r="D94" s="15" t="s">
        <v>661</v>
      </c>
      <c r="E94" s="15">
        <v>6</v>
      </c>
      <c r="F94" s="15" t="s">
        <v>995</v>
      </c>
      <c r="G94" s="15">
        <v>0</v>
      </c>
      <c r="H94" s="9" t="s">
        <v>996</v>
      </c>
      <c r="I94" s="17" t="s">
        <v>997</v>
      </c>
    </row>
    <row r="95" spans="2:9">
      <c r="B95" s="14" t="s">
        <v>670</v>
      </c>
      <c r="C95" s="15">
        <v>1</v>
      </c>
      <c r="D95" s="15" t="s">
        <v>667</v>
      </c>
      <c r="E95" s="15">
        <v>0</v>
      </c>
      <c r="F95" s="15" t="s">
        <v>998</v>
      </c>
      <c r="G95" s="15">
        <v>0</v>
      </c>
      <c r="H95" s="9" t="s">
        <v>814</v>
      </c>
      <c r="I95" s="17" t="s">
        <v>999</v>
      </c>
    </row>
    <row r="96" spans="2:9">
      <c r="B96" s="14" t="s">
        <v>669</v>
      </c>
      <c r="C96" s="15">
        <v>1</v>
      </c>
      <c r="D96" s="15" t="s">
        <v>667</v>
      </c>
      <c r="E96" s="15">
        <v>1</v>
      </c>
      <c r="F96" s="15" t="s">
        <v>1000</v>
      </c>
      <c r="G96" s="15">
        <v>0</v>
      </c>
      <c r="H96" s="9" t="s">
        <v>814</v>
      </c>
      <c r="I96" s="17" t="s">
        <v>1001</v>
      </c>
    </row>
    <row r="97" spans="2:9">
      <c r="B97" s="14" t="s">
        <v>670</v>
      </c>
      <c r="C97" s="15">
        <v>5</v>
      </c>
      <c r="D97" s="15" t="s">
        <v>672</v>
      </c>
      <c r="E97" s="15">
        <v>0</v>
      </c>
      <c r="F97" s="15" t="s">
        <v>1002</v>
      </c>
      <c r="G97" s="15">
        <v>0</v>
      </c>
      <c r="H97" s="9" t="s">
        <v>814</v>
      </c>
      <c r="I97" s="17" t="s">
        <v>1003</v>
      </c>
    </row>
    <row r="98" spans="2:9">
      <c r="B98" s="14" t="s">
        <v>669</v>
      </c>
      <c r="C98" s="15">
        <v>2</v>
      </c>
      <c r="D98" s="15" t="s">
        <v>672</v>
      </c>
      <c r="E98" s="15">
        <v>6</v>
      </c>
      <c r="F98" s="15" t="s">
        <v>1004</v>
      </c>
      <c r="G98" s="15">
        <v>0</v>
      </c>
      <c r="H98" s="9" t="s">
        <v>814</v>
      </c>
      <c r="I98" s="17" t="s">
        <v>1005</v>
      </c>
    </row>
    <row r="99" spans="2:9">
      <c r="B99" s="14" t="s">
        <v>677</v>
      </c>
      <c r="C99" s="15">
        <v>1</v>
      </c>
      <c r="D99" s="15" t="s">
        <v>675</v>
      </c>
      <c r="E99" s="15">
        <v>0</v>
      </c>
      <c r="F99" s="15" t="s">
        <v>1006</v>
      </c>
      <c r="G99" s="15">
        <v>0</v>
      </c>
      <c r="H99" s="9" t="s">
        <v>814</v>
      </c>
      <c r="I99" s="16" t="s">
        <v>1007</v>
      </c>
    </row>
    <row r="100" spans="2:9">
      <c r="B100" s="14" t="s">
        <v>685</v>
      </c>
      <c r="C100" s="15">
        <v>1</v>
      </c>
      <c r="D100" s="15" t="s">
        <v>679</v>
      </c>
      <c r="E100" s="15">
        <v>0</v>
      </c>
      <c r="F100" s="15" t="s">
        <v>1008</v>
      </c>
      <c r="G100" s="15">
        <v>0</v>
      </c>
      <c r="H100" s="9" t="s">
        <v>814</v>
      </c>
      <c r="I100" s="16" t="s">
        <v>1009</v>
      </c>
    </row>
    <row r="101" spans="2:9">
      <c r="B101" s="14" t="s">
        <v>684</v>
      </c>
      <c r="C101" s="15">
        <v>1</v>
      </c>
      <c r="D101" s="15" t="s">
        <v>679</v>
      </c>
      <c r="E101" s="15">
        <v>1</v>
      </c>
      <c r="F101" s="15" t="s">
        <v>1010</v>
      </c>
      <c r="G101" s="15">
        <v>0</v>
      </c>
      <c r="H101" s="9" t="s">
        <v>814</v>
      </c>
      <c r="I101" s="16" t="s">
        <v>1011</v>
      </c>
    </row>
    <row r="102" spans="2:9">
      <c r="B102" s="14" t="s">
        <v>683</v>
      </c>
      <c r="C102" s="15">
        <v>1</v>
      </c>
      <c r="D102" s="15" t="s">
        <v>679</v>
      </c>
      <c r="E102" s="15">
        <v>2</v>
      </c>
      <c r="F102" s="15" t="s">
        <v>1012</v>
      </c>
      <c r="G102" s="15">
        <v>0</v>
      </c>
      <c r="H102" s="9" t="s">
        <v>814</v>
      </c>
      <c r="I102" s="16" t="s">
        <v>1013</v>
      </c>
    </row>
    <row r="103" spans="2:9">
      <c r="B103" s="14" t="s">
        <v>682</v>
      </c>
      <c r="C103" s="15">
        <v>1</v>
      </c>
      <c r="D103" s="15" t="s">
        <v>679</v>
      </c>
      <c r="E103" s="15">
        <v>3</v>
      </c>
      <c r="F103" s="15" t="s">
        <v>1014</v>
      </c>
      <c r="G103" s="15">
        <v>0</v>
      </c>
      <c r="H103" s="9" t="s">
        <v>814</v>
      </c>
      <c r="I103" s="16" t="s">
        <v>1015</v>
      </c>
    </row>
    <row r="104" spans="2:9">
      <c r="B104" s="14" t="s">
        <v>681</v>
      </c>
      <c r="C104" s="15">
        <v>1</v>
      </c>
      <c r="D104" s="15" t="s">
        <v>679</v>
      </c>
      <c r="E104" s="15">
        <v>7</v>
      </c>
      <c r="F104" s="15" t="s">
        <v>1016</v>
      </c>
      <c r="G104" s="15">
        <v>0</v>
      </c>
      <c r="H104" s="9" t="s">
        <v>843</v>
      </c>
      <c r="I104" s="16" t="s">
        <v>1017</v>
      </c>
    </row>
    <row r="105" spans="2:9">
      <c r="B105" s="14" t="s">
        <v>691</v>
      </c>
      <c r="C105" s="15">
        <v>2</v>
      </c>
      <c r="D105" s="15" t="s">
        <v>688</v>
      </c>
      <c r="E105" s="15">
        <v>0</v>
      </c>
      <c r="F105" s="15" t="s">
        <v>1018</v>
      </c>
      <c r="G105" s="15">
        <v>3</v>
      </c>
      <c r="H105" t="s">
        <v>814</v>
      </c>
      <c r="I105" s="16" t="s">
        <v>1019</v>
      </c>
    </row>
    <row r="106" spans="2:9">
      <c r="B106" s="14" t="s">
        <v>690</v>
      </c>
      <c r="C106" s="15">
        <v>1</v>
      </c>
      <c r="D106" s="15" t="s">
        <v>688</v>
      </c>
      <c r="E106" s="15">
        <v>4</v>
      </c>
      <c r="F106" s="15" t="s">
        <v>1020</v>
      </c>
      <c r="G106" s="15">
        <v>1</v>
      </c>
      <c r="H106" t="s">
        <v>814</v>
      </c>
      <c r="I106" s="16" t="s">
        <v>1021</v>
      </c>
    </row>
    <row r="107" spans="2:9">
      <c r="B107" s="14" t="s">
        <v>542</v>
      </c>
      <c r="C107" s="15">
        <v>7</v>
      </c>
      <c r="D107" s="15" t="s">
        <v>693</v>
      </c>
      <c r="E107" s="15">
        <v>0</v>
      </c>
      <c r="F107" s="15" t="s">
        <v>1022</v>
      </c>
      <c r="G107" s="15">
        <v>0</v>
      </c>
      <c r="H107" t="s">
        <v>814</v>
      </c>
      <c r="I107" s="16" t="s">
        <v>1023</v>
      </c>
    </row>
    <row r="108" spans="2:9">
      <c r="B108" s="14" t="s">
        <v>702</v>
      </c>
      <c r="C108" s="15">
        <v>1</v>
      </c>
      <c r="D108" s="15" t="s">
        <v>696</v>
      </c>
      <c r="E108" s="15">
        <v>0</v>
      </c>
      <c r="F108" s="15" t="s">
        <v>1024</v>
      </c>
      <c r="G108" s="15">
        <v>0</v>
      </c>
      <c r="H108" t="s">
        <v>814</v>
      </c>
      <c r="I108" s="16" t="s">
        <v>1025</v>
      </c>
    </row>
    <row r="109" spans="2:9">
      <c r="B109" s="14" t="s">
        <v>701</v>
      </c>
      <c r="C109" s="15">
        <v>1</v>
      </c>
      <c r="D109" s="15" t="s">
        <v>696</v>
      </c>
      <c r="E109" s="15">
        <v>1</v>
      </c>
      <c r="F109" s="15" t="s">
        <v>1026</v>
      </c>
      <c r="G109" s="15">
        <v>0</v>
      </c>
      <c r="H109" t="s">
        <v>814</v>
      </c>
      <c r="I109" s="16" t="s">
        <v>1027</v>
      </c>
    </row>
    <row r="110" spans="2:9">
      <c r="B110" s="14" t="s">
        <v>700</v>
      </c>
      <c r="C110" s="15">
        <v>1</v>
      </c>
      <c r="D110" s="15" t="s">
        <v>696</v>
      </c>
      <c r="E110" s="15">
        <v>2</v>
      </c>
      <c r="F110" s="15" t="s">
        <v>1028</v>
      </c>
      <c r="G110" s="15">
        <v>0</v>
      </c>
      <c r="H110" t="s">
        <v>814</v>
      </c>
      <c r="I110" s="16" t="s">
        <v>1029</v>
      </c>
    </row>
    <row r="111" spans="2:9">
      <c r="B111" s="14" t="s">
        <v>699</v>
      </c>
      <c r="C111" s="15">
        <v>2</v>
      </c>
      <c r="D111" s="15" t="s">
        <v>696</v>
      </c>
      <c r="E111" s="15">
        <v>4</v>
      </c>
      <c r="F111" s="15" t="s">
        <v>1030</v>
      </c>
      <c r="G111" s="15">
        <v>0</v>
      </c>
      <c r="H111" t="s">
        <v>814</v>
      </c>
      <c r="I111" s="16" t="s">
        <v>1031</v>
      </c>
    </row>
    <row r="112" spans="2:9">
      <c r="B112" s="14" t="s">
        <v>698</v>
      </c>
      <c r="C112" s="15">
        <v>1</v>
      </c>
      <c r="D112" s="15" t="s">
        <v>696</v>
      </c>
      <c r="E112" s="15">
        <v>7</v>
      </c>
      <c r="F112" s="15" t="s">
        <v>1032</v>
      </c>
      <c r="G112" s="15">
        <v>0</v>
      </c>
      <c r="H112" t="s">
        <v>814</v>
      </c>
      <c r="I112" s="16" t="s">
        <v>1033</v>
      </c>
    </row>
    <row r="113" spans="2:9">
      <c r="B113" s="14" t="s">
        <v>710</v>
      </c>
      <c r="C113" s="15">
        <v>1</v>
      </c>
      <c r="D113" s="15" t="s">
        <v>704</v>
      </c>
      <c r="E113" s="15">
        <v>0</v>
      </c>
      <c r="F113" s="15" t="s">
        <v>1034</v>
      </c>
      <c r="G113" s="15">
        <v>0</v>
      </c>
      <c r="H113" t="s">
        <v>814</v>
      </c>
      <c r="I113" s="16" t="s">
        <v>1035</v>
      </c>
    </row>
    <row r="114" spans="2:9">
      <c r="B114" s="14" t="s">
        <v>709</v>
      </c>
      <c r="C114" s="15">
        <v>1</v>
      </c>
      <c r="D114" s="15" t="s">
        <v>704</v>
      </c>
      <c r="E114" s="15">
        <v>1</v>
      </c>
      <c r="F114" s="15" t="s">
        <v>1036</v>
      </c>
      <c r="G114" s="15">
        <v>0</v>
      </c>
      <c r="H114" t="s">
        <v>814</v>
      </c>
      <c r="I114" s="16" t="s">
        <v>1037</v>
      </c>
    </row>
    <row r="115" spans="2:9">
      <c r="B115" s="14" t="s">
        <v>708</v>
      </c>
      <c r="C115" s="15">
        <v>1</v>
      </c>
      <c r="D115" s="15" t="s">
        <v>704</v>
      </c>
      <c r="E115" s="15">
        <v>2</v>
      </c>
      <c r="F115" s="15" t="s">
        <v>1038</v>
      </c>
      <c r="G115" s="15">
        <v>0</v>
      </c>
      <c r="H115" t="s">
        <v>814</v>
      </c>
      <c r="I115" s="16" t="s">
        <v>1039</v>
      </c>
    </row>
    <row r="116" spans="2:9">
      <c r="B116" s="14" t="s">
        <v>707</v>
      </c>
      <c r="C116" s="15">
        <v>1</v>
      </c>
      <c r="D116" s="15" t="s">
        <v>704</v>
      </c>
      <c r="E116" s="15">
        <v>3</v>
      </c>
      <c r="F116" s="15" t="s">
        <v>1040</v>
      </c>
      <c r="G116" s="15">
        <v>0</v>
      </c>
      <c r="H116" t="s">
        <v>814</v>
      </c>
      <c r="I116" s="16" t="s">
        <v>1041</v>
      </c>
    </row>
    <row r="117" spans="2:9">
      <c r="B117" s="14" t="s">
        <v>706</v>
      </c>
      <c r="C117" s="15">
        <v>2</v>
      </c>
      <c r="D117" s="15" t="s">
        <v>704</v>
      </c>
      <c r="E117" s="15">
        <v>4</v>
      </c>
      <c r="F117" s="15" t="s">
        <v>1042</v>
      </c>
      <c r="G117" s="15">
        <v>0</v>
      </c>
      <c r="H117" t="s">
        <v>814</v>
      </c>
      <c r="I117" s="16" t="s">
        <v>1043</v>
      </c>
    </row>
    <row r="118" spans="2:9">
      <c r="B118" s="14" t="s">
        <v>351</v>
      </c>
      <c r="C118" s="15">
        <v>1</v>
      </c>
      <c r="D118" s="15" t="s">
        <v>704</v>
      </c>
      <c r="E118" s="15">
        <v>6</v>
      </c>
      <c r="F118" s="15" t="s">
        <v>855</v>
      </c>
      <c r="G118" s="15">
        <v>0</v>
      </c>
      <c r="H118" t="s">
        <v>814</v>
      </c>
      <c r="I118" s="16" t="s">
        <v>1044</v>
      </c>
    </row>
    <row r="119" spans="2:9">
      <c r="B119" s="14" t="s">
        <v>350</v>
      </c>
      <c r="C119" s="15">
        <v>1</v>
      </c>
      <c r="D119" s="15" t="s">
        <v>704</v>
      </c>
      <c r="E119" s="15">
        <v>7</v>
      </c>
      <c r="F119" s="15" t="s">
        <v>856</v>
      </c>
      <c r="G119" s="15">
        <v>0</v>
      </c>
      <c r="H119" t="s">
        <v>814</v>
      </c>
      <c r="I119" s="16" t="s">
        <v>1045</v>
      </c>
    </row>
    <row r="120" spans="2:9">
      <c r="B120" s="14" t="s">
        <v>717</v>
      </c>
      <c r="C120" s="15">
        <v>1</v>
      </c>
      <c r="D120" s="15" t="s">
        <v>712</v>
      </c>
      <c r="E120" s="15">
        <v>0</v>
      </c>
      <c r="F120" s="15" t="s">
        <v>1046</v>
      </c>
      <c r="G120" s="15">
        <v>0</v>
      </c>
      <c r="H120" t="s">
        <v>814</v>
      </c>
      <c r="I120" s="16" t="s">
        <v>1047</v>
      </c>
    </row>
    <row r="121" spans="2:9">
      <c r="B121" s="14" t="s">
        <v>716</v>
      </c>
      <c r="C121" s="15">
        <v>3</v>
      </c>
      <c r="D121" s="15" t="s">
        <v>712</v>
      </c>
      <c r="E121" s="15">
        <v>1</v>
      </c>
      <c r="F121" s="15" t="s">
        <v>1048</v>
      </c>
      <c r="G121" s="15">
        <v>0</v>
      </c>
      <c r="H121" t="s">
        <v>814</v>
      </c>
      <c r="I121" s="16" t="s">
        <v>1049</v>
      </c>
    </row>
    <row r="122" spans="2:9">
      <c r="B122" s="14" t="s">
        <v>715</v>
      </c>
      <c r="C122" s="15">
        <v>1</v>
      </c>
      <c r="D122" s="15" t="s">
        <v>712</v>
      </c>
      <c r="E122" s="15">
        <v>6</v>
      </c>
      <c r="F122" s="15" t="s">
        <v>1050</v>
      </c>
      <c r="G122" s="15">
        <v>0</v>
      </c>
      <c r="H122" t="s">
        <v>814</v>
      </c>
      <c r="I122" s="16" t="s">
        <v>1051</v>
      </c>
    </row>
    <row r="123" spans="2:9">
      <c r="B123" s="14" t="s">
        <v>714</v>
      </c>
      <c r="C123" s="15">
        <v>1</v>
      </c>
      <c r="D123" s="15" t="s">
        <v>712</v>
      </c>
      <c r="E123" s="15">
        <v>7</v>
      </c>
      <c r="F123" s="15" t="s">
        <v>1052</v>
      </c>
      <c r="G123" s="15">
        <v>0</v>
      </c>
      <c r="H123" t="s">
        <v>814</v>
      </c>
      <c r="I123" s="16" t="s">
        <v>1053</v>
      </c>
    </row>
    <row r="124" spans="2:9">
      <c r="B124" s="14" t="s">
        <v>721</v>
      </c>
      <c r="C124" s="15">
        <v>1</v>
      </c>
      <c r="D124" s="15" t="s">
        <v>719</v>
      </c>
      <c r="E124" s="15">
        <v>0</v>
      </c>
      <c r="F124" s="15" t="s">
        <v>1054</v>
      </c>
      <c r="G124" s="15">
        <v>0</v>
      </c>
      <c r="H124" t="s">
        <v>814</v>
      </c>
      <c r="I124" s="17" t="s">
        <v>1055</v>
      </c>
    </row>
    <row r="125" spans="2:9">
      <c r="B125" s="14" t="s">
        <v>725</v>
      </c>
      <c r="C125" s="15">
        <v>8</v>
      </c>
      <c r="D125" s="15" t="s">
        <v>723</v>
      </c>
      <c r="E125" s="15">
        <v>0</v>
      </c>
      <c r="F125" s="15" t="s">
        <v>1056</v>
      </c>
      <c r="G125" s="15">
        <v>60</v>
      </c>
      <c r="H125" t="s">
        <v>814</v>
      </c>
      <c r="I125" s="16" t="s">
        <v>1057</v>
      </c>
    </row>
    <row r="126" spans="2:9">
      <c r="B126" s="14" t="s">
        <v>729</v>
      </c>
      <c r="C126" s="15">
        <v>8</v>
      </c>
      <c r="D126" s="15" t="s">
        <v>727</v>
      </c>
      <c r="E126" s="15">
        <v>0</v>
      </c>
      <c r="F126" s="15" t="s">
        <v>1058</v>
      </c>
      <c r="G126" s="15">
        <v>15</v>
      </c>
      <c r="H126" t="s">
        <v>814</v>
      </c>
      <c r="I126" s="16" t="s">
        <v>1057</v>
      </c>
    </row>
    <row r="127" spans="2:9">
      <c r="B127" s="14" t="s">
        <v>546</v>
      </c>
      <c r="C127" s="15">
        <v>8</v>
      </c>
      <c r="D127" s="15" t="s">
        <v>730</v>
      </c>
      <c r="E127" s="15">
        <v>0</v>
      </c>
      <c r="F127" s="15" t="s">
        <v>1059</v>
      </c>
      <c r="G127" s="15">
        <v>0</v>
      </c>
      <c r="H127" t="s">
        <v>814</v>
      </c>
      <c r="I127" s="16" t="s">
        <v>1060</v>
      </c>
    </row>
    <row r="128" spans="2:9">
      <c r="B128" s="14" t="s">
        <v>550</v>
      </c>
      <c r="C128" s="15">
        <v>8</v>
      </c>
      <c r="D128" s="15" t="s">
        <v>733</v>
      </c>
      <c r="E128" s="15">
        <v>0</v>
      </c>
      <c r="F128" s="15" t="s">
        <v>1061</v>
      </c>
      <c r="G128" s="15">
        <v>0</v>
      </c>
      <c r="H128" t="s">
        <v>814</v>
      </c>
      <c r="I128" s="16" t="s">
        <v>1062</v>
      </c>
    </row>
    <row r="129" spans="2:9">
      <c r="B129" s="14" t="s">
        <v>554</v>
      </c>
      <c r="C129" s="15">
        <v>8</v>
      </c>
      <c r="D129" s="15" t="s">
        <v>735</v>
      </c>
      <c r="E129" s="15">
        <v>0</v>
      </c>
      <c r="F129" s="15" t="s">
        <v>1063</v>
      </c>
      <c r="G129" s="15">
        <v>0</v>
      </c>
      <c r="H129" t="s">
        <v>814</v>
      </c>
      <c r="I129" s="16" t="s">
        <v>1064</v>
      </c>
    </row>
    <row r="130" spans="2:9">
      <c r="B130" s="14" t="s">
        <v>558</v>
      </c>
      <c r="C130" s="15">
        <v>8</v>
      </c>
      <c r="D130" s="15" t="s">
        <v>737</v>
      </c>
      <c r="E130" s="15">
        <v>0</v>
      </c>
      <c r="F130" s="15" t="s">
        <v>1065</v>
      </c>
      <c r="G130" s="15">
        <v>0</v>
      </c>
      <c r="H130" t="s">
        <v>814</v>
      </c>
      <c r="I130" s="16" t="s">
        <v>1066</v>
      </c>
    </row>
    <row r="131" spans="2:9">
      <c r="B131" s="14" t="s">
        <v>562</v>
      </c>
      <c r="C131" s="15">
        <v>8</v>
      </c>
      <c r="D131" s="15" t="s">
        <v>739</v>
      </c>
      <c r="E131" s="15">
        <v>0</v>
      </c>
      <c r="F131" s="15" t="s">
        <v>1067</v>
      </c>
      <c r="G131" s="15">
        <v>0</v>
      </c>
      <c r="H131" t="s">
        <v>814</v>
      </c>
      <c r="I131" s="16" t="s">
        <v>1068</v>
      </c>
    </row>
    <row r="132" spans="2:9">
      <c r="B132" s="14" t="s">
        <v>566</v>
      </c>
      <c r="C132" s="15">
        <v>8</v>
      </c>
      <c r="D132" s="15" t="s">
        <v>741</v>
      </c>
      <c r="E132" s="15">
        <v>0</v>
      </c>
      <c r="F132" s="15" t="s">
        <v>1069</v>
      </c>
      <c r="G132" s="15">
        <v>0</v>
      </c>
      <c r="H132" t="s">
        <v>814</v>
      </c>
      <c r="I132" s="16" t="s">
        <v>1070</v>
      </c>
    </row>
    <row r="133" spans="2:9">
      <c r="B133" s="14" t="s">
        <v>570</v>
      </c>
      <c r="C133" s="15">
        <v>8</v>
      </c>
      <c r="D133" s="15" t="s">
        <v>743</v>
      </c>
      <c r="E133" s="15">
        <v>0</v>
      </c>
      <c r="F133" s="15" t="s">
        <v>1071</v>
      </c>
      <c r="G133" s="15">
        <v>0</v>
      </c>
      <c r="H133" t="s">
        <v>814</v>
      </c>
      <c r="I133" s="16" t="s">
        <v>1072</v>
      </c>
    </row>
    <row r="134" spans="2:9">
      <c r="B134" s="14" t="s">
        <v>574</v>
      </c>
      <c r="C134" s="15">
        <v>8</v>
      </c>
      <c r="D134" s="15" t="s">
        <v>745</v>
      </c>
      <c r="E134" s="15">
        <v>0</v>
      </c>
      <c r="F134" s="15" t="s">
        <v>1073</v>
      </c>
      <c r="G134" s="15">
        <v>0</v>
      </c>
      <c r="H134" t="s">
        <v>814</v>
      </c>
      <c r="I134" s="16" t="s">
        <v>1074</v>
      </c>
    </row>
    <row r="135" spans="2:9">
      <c r="B135" s="14" t="s">
        <v>751</v>
      </c>
      <c r="C135" s="15">
        <v>4</v>
      </c>
      <c r="D135" s="15" t="s">
        <v>748</v>
      </c>
      <c r="E135" s="15">
        <v>0</v>
      </c>
      <c r="F135" s="15" t="s">
        <v>1075</v>
      </c>
      <c r="G135" s="22"/>
      <c r="H135" t="s">
        <v>814</v>
      </c>
      <c r="I135" s="16" t="s">
        <v>1076</v>
      </c>
    </row>
    <row r="136" spans="2:9">
      <c r="B136" s="14" t="s">
        <v>750</v>
      </c>
      <c r="C136" s="15">
        <v>4</v>
      </c>
      <c r="D136" s="15" t="s">
        <v>748</v>
      </c>
      <c r="E136" s="15">
        <v>4</v>
      </c>
      <c r="F136" s="15" t="s">
        <v>1077</v>
      </c>
      <c r="G136" s="22"/>
      <c r="H136" t="s">
        <v>814</v>
      </c>
      <c r="I136" s="16" t="s">
        <v>1078</v>
      </c>
    </row>
    <row r="137" spans="2:9">
      <c r="B137" s="14" t="s">
        <v>747</v>
      </c>
      <c r="C137" s="15">
        <v>8</v>
      </c>
      <c r="D137" s="15" t="s">
        <v>753</v>
      </c>
      <c r="E137" s="15">
        <v>0</v>
      </c>
      <c r="F137" s="15" t="s">
        <v>1079</v>
      </c>
      <c r="G137" s="22">
        <v>22</v>
      </c>
      <c r="H137" t="s">
        <v>814</v>
      </c>
      <c r="I137" s="16" t="s">
        <v>1080</v>
      </c>
    </row>
    <row r="138" spans="2:9">
      <c r="B138" s="14" t="s">
        <v>747</v>
      </c>
      <c r="C138" s="15">
        <v>8</v>
      </c>
      <c r="D138" s="15" t="s">
        <v>756</v>
      </c>
      <c r="E138" s="15">
        <v>0</v>
      </c>
      <c r="F138" s="15" t="s">
        <v>1081</v>
      </c>
      <c r="G138" s="15">
        <v>149</v>
      </c>
      <c r="H138" t="s">
        <v>814</v>
      </c>
      <c r="I138" s="16" t="s">
        <v>1082</v>
      </c>
    </row>
  </sheetData>
  <pageMargins left="0.7" right="0.7" top="0.75" bottom="0.75" header="0.3" footer="0.3"/>
  <headerFooter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J83"/>
  <sheetViews>
    <sheetView zoomScale="115" zoomScaleNormal="115" topLeftCell="A50" workbookViewId="0">
      <selection activeCell="J79" sqref="J79"/>
    </sheetView>
  </sheetViews>
  <sheetFormatPr defaultColWidth="9" defaultRowHeight="14.4"/>
  <cols>
    <col min="1" max="1" width="2.42592592592593" customWidth="1"/>
    <col min="2" max="2" width="19.712962962963" customWidth="1"/>
    <col min="3" max="3" width="10.4259259259259" customWidth="1"/>
    <col min="4" max="4" width="21" customWidth="1"/>
    <col min="5" max="5" width="10.5740740740741" customWidth="1"/>
    <col min="6" max="6" width="28" customWidth="1"/>
    <col min="7" max="7" width="10" customWidth="1"/>
    <col min="8" max="8" width="11" customWidth="1"/>
    <col min="9" max="9" width="11.712962962963" customWidth="1"/>
    <col min="10" max="10" width="129.425925925926" customWidth="1"/>
  </cols>
  <sheetData>
    <row r="2" spans="2:10">
      <c r="B2" s="13" t="s">
        <v>809</v>
      </c>
      <c r="C2" s="13" t="s">
        <v>784</v>
      </c>
      <c r="D2" s="13" t="s">
        <v>339</v>
      </c>
      <c r="E2" s="13" t="s">
        <v>810</v>
      </c>
      <c r="F2" s="13" t="s">
        <v>811</v>
      </c>
      <c r="G2" s="13" t="s">
        <v>342</v>
      </c>
      <c r="H2" s="13" t="s">
        <v>343</v>
      </c>
      <c r="I2" s="13" t="s">
        <v>812</v>
      </c>
      <c r="J2" s="13" t="s">
        <v>344</v>
      </c>
    </row>
    <row r="3" spans="2:10">
      <c r="B3" s="14" t="s">
        <v>529</v>
      </c>
      <c r="C3" s="15">
        <v>4</v>
      </c>
      <c r="D3" s="15" t="s">
        <v>527</v>
      </c>
      <c r="E3" s="15">
        <v>0</v>
      </c>
      <c r="F3" s="15" t="s">
        <v>1083</v>
      </c>
      <c r="G3" s="15">
        <v>0</v>
      </c>
      <c r="H3" s="15">
        <v>10</v>
      </c>
      <c r="I3" s="15" t="s">
        <v>814</v>
      </c>
      <c r="J3" s="16" t="s">
        <v>1084</v>
      </c>
    </row>
    <row r="4" spans="2:10">
      <c r="B4" s="14" t="s">
        <v>519</v>
      </c>
      <c r="C4" s="15">
        <v>7</v>
      </c>
      <c r="D4" s="15" t="s">
        <v>517</v>
      </c>
      <c r="E4" s="15">
        <v>0</v>
      </c>
      <c r="F4" s="15" t="s">
        <v>1085</v>
      </c>
      <c r="G4" s="15">
        <v>48</v>
      </c>
      <c r="H4" s="15">
        <v>48</v>
      </c>
      <c r="I4" s="15" t="s">
        <v>814</v>
      </c>
      <c r="J4" s="16" t="s">
        <v>1086</v>
      </c>
    </row>
    <row r="5" spans="2:10">
      <c r="B5" s="14" t="s">
        <v>378</v>
      </c>
      <c r="C5" s="15">
        <v>6</v>
      </c>
      <c r="D5" s="15" t="s">
        <v>378</v>
      </c>
      <c r="E5" s="15">
        <v>0</v>
      </c>
      <c r="F5" s="15" t="s">
        <v>1087</v>
      </c>
      <c r="G5" s="15">
        <v>32</v>
      </c>
      <c r="H5" s="15">
        <v>32</v>
      </c>
      <c r="I5" s="15" t="s">
        <v>843</v>
      </c>
      <c r="J5" s="16" t="s">
        <v>1088</v>
      </c>
    </row>
    <row r="6" spans="2:10">
      <c r="B6" s="14" t="s">
        <v>382</v>
      </c>
      <c r="C6" s="15">
        <v>6</v>
      </c>
      <c r="D6" s="15" t="s">
        <v>382</v>
      </c>
      <c r="E6" s="15">
        <v>0</v>
      </c>
      <c r="F6" s="15" t="s">
        <v>1089</v>
      </c>
      <c r="G6" s="15">
        <v>0</v>
      </c>
      <c r="H6" s="15">
        <v>0</v>
      </c>
      <c r="I6" s="15" t="s">
        <v>843</v>
      </c>
      <c r="J6" s="16" t="s">
        <v>1090</v>
      </c>
    </row>
    <row r="7" spans="2:10">
      <c r="B7" s="14" t="s">
        <v>385</v>
      </c>
      <c r="C7" s="15">
        <v>6</v>
      </c>
      <c r="D7" s="15" t="s">
        <v>385</v>
      </c>
      <c r="E7" s="15">
        <v>0</v>
      </c>
      <c r="F7" s="15" t="s">
        <v>1091</v>
      </c>
      <c r="G7" s="15">
        <v>0</v>
      </c>
      <c r="H7" s="15">
        <v>0</v>
      </c>
      <c r="I7" s="15" t="s">
        <v>843</v>
      </c>
      <c r="J7" s="16" t="s">
        <v>1092</v>
      </c>
    </row>
    <row r="8" spans="2:10">
      <c r="B8" s="14" t="s">
        <v>388</v>
      </c>
      <c r="C8" s="15">
        <v>8</v>
      </c>
      <c r="D8" s="15" t="s">
        <v>388</v>
      </c>
      <c r="E8" s="15">
        <v>0</v>
      </c>
      <c r="F8" s="15" t="s">
        <v>1093</v>
      </c>
      <c r="G8" s="15">
        <v>0</v>
      </c>
      <c r="H8" s="15">
        <v>0</v>
      </c>
      <c r="I8" s="15" t="s">
        <v>843</v>
      </c>
      <c r="J8" s="16" t="s">
        <v>1094</v>
      </c>
    </row>
    <row r="9" spans="2:10">
      <c r="B9" s="14" t="s">
        <v>391</v>
      </c>
      <c r="C9" s="15">
        <v>4</v>
      </c>
      <c r="D9" s="15" t="s">
        <v>391</v>
      </c>
      <c r="E9" s="15">
        <v>0</v>
      </c>
      <c r="F9" s="15" t="s">
        <v>1095</v>
      </c>
      <c r="G9" s="15">
        <v>0</v>
      </c>
      <c r="H9" s="15">
        <v>0</v>
      </c>
      <c r="I9" s="15" t="s">
        <v>843</v>
      </c>
      <c r="J9" s="16" t="s">
        <v>1096</v>
      </c>
    </row>
    <row r="10" spans="2:10">
      <c r="B10" s="14" t="s">
        <v>394</v>
      </c>
      <c r="C10" s="15">
        <v>6</v>
      </c>
      <c r="D10" s="15" t="s">
        <v>394</v>
      </c>
      <c r="E10" s="15">
        <v>0</v>
      </c>
      <c r="F10" s="15" t="s">
        <v>1097</v>
      </c>
      <c r="G10" s="15">
        <v>0</v>
      </c>
      <c r="H10" s="15">
        <v>0</v>
      </c>
      <c r="I10" s="15" t="s">
        <v>843</v>
      </c>
      <c r="J10" s="16" t="s">
        <v>1098</v>
      </c>
    </row>
    <row r="11" spans="2:10">
      <c r="B11" s="14" t="s">
        <v>397</v>
      </c>
      <c r="C11" s="15">
        <v>6</v>
      </c>
      <c r="D11" s="15" t="s">
        <v>397</v>
      </c>
      <c r="E11" s="15">
        <v>0</v>
      </c>
      <c r="F11" s="15" t="s">
        <v>1099</v>
      </c>
      <c r="G11" s="15">
        <v>0</v>
      </c>
      <c r="H11" s="15">
        <v>0</v>
      </c>
      <c r="I11" s="15" t="s">
        <v>843</v>
      </c>
      <c r="J11" s="16" t="s">
        <v>1100</v>
      </c>
    </row>
    <row r="12" spans="2:10">
      <c r="B12" s="14" t="s">
        <v>400</v>
      </c>
      <c r="C12" s="15">
        <v>4</v>
      </c>
      <c r="D12" s="15" t="s">
        <v>400</v>
      </c>
      <c r="E12" s="15">
        <v>0</v>
      </c>
      <c r="F12" s="15" t="s">
        <v>1101</v>
      </c>
      <c r="G12" s="15">
        <v>0</v>
      </c>
      <c r="H12" s="15">
        <v>0</v>
      </c>
      <c r="I12" s="15" t="s">
        <v>843</v>
      </c>
      <c r="J12" s="16" t="s">
        <v>1102</v>
      </c>
    </row>
    <row r="13" spans="2:10">
      <c r="B13" s="14" t="s">
        <v>403</v>
      </c>
      <c r="C13" s="15">
        <v>8</v>
      </c>
      <c r="D13" s="15" t="s">
        <v>403</v>
      </c>
      <c r="E13" s="15">
        <v>0</v>
      </c>
      <c r="F13" s="15" t="s">
        <v>1103</v>
      </c>
      <c r="G13" s="15">
        <v>0</v>
      </c>
      <c r="H13" s="15">
        <v>0</v>
      </c>
      <c r="I13" s="15" t="s">
        <v>843</v>
      </c>
      <c r="J13" s="16" t="s">
        <v>1104</v>
      </c>
    </row>
    <row r="14" ht="331.2" spans="2:10">
      <c r="B14" t="s">
        <v>407</v>
      </c>
      <c r="C14">
        <v>8</v>
      </c>
      <c r="D14" s="15" t="s">
        <v>407</v>
      </c>
      <c r="E14">
        <v>0</v>
      </c>
      <c r="F14" t="s">
        <v>1105</v>
      </c>
      <c r="G14">
        <v>0</v>
      </c>
      <c r="H14">
        <v>0</v>
      </c>
      <c r="I14" t="s">
        <v>843</v>
      </c>
      <c r="J14" s="17" t="s">
        <v>1106</v>
      </c>
    </row>
    <row r="15" spans="2:10">
      <c r="B15" t="s">
        <v>410</v>
      </c>
      <c r="C15">
        <v>8</v>
      </c>
      <c r="D15" s="15" t="s">
        <v>410</v>
      </c>
      <c r="E15">
        <v>0</v>
      </c>
      <c r="F15" t="s">
        <v>1107</v>
      </c>
      <c r="G15">
        <v>0</v>
      </c>
      <c r="H15">
        <v>0</v>
      </c>
      <c r="I15" t="s">
        <v>843</v>
      </c>
      <c r="J15" s="16" t="s">
        <v>409</v>
      </c>
    </row>
    <row r="16" spans="2:10">
      <c r="B16" t="s">
        <v>412</v>
      </c>
      <c r="C16">
        <v>8</v>
      </c>
      <c r="D16" s="15" t="s">
        <v>412</v>
      </c>
      <c r="E16">
        <v>0</v>
      </c>
      <c r="F16" t="s">
        <v>1108</v>
      </c>
      <c r="G16">
        <v>0</v>
      </c>
      <c r="H16">
        <v>0</v>
      </c>
      <c r="I16" t="s">
        <v>843</v>
      </c>
      <c r="J16" s="16" t="s">
        <v>409</v>
      </c>
    </row>
    <row r="17" spans="2:10">
      <c r="B17" t="s">
        <v>414</v>
      </c>
      <c r="C17">
        <v>8</v>
      </c>
      <c r="D17" s="15" t="s">
        <v>414</v>
      </c>
      <c r="E17">
        <v>0</v>
      </c>
      <c r="F17" t="s">
        <v>1109</v>
      </c>
      <c r="G17">
        <v>0</v>
      </c>
      <c r="H17">
        <v>0</v>
      </c>
      <c r="I17" t="s">
        <v>843</v>
      </c>
      <c r="J17" s="16" t="s">
        <v>409</v>
      </c>
    </row>
    <row r="18" spans="2:10">
      <c r="B18" t="s">
        <v>416</v>
      </c>
      <c r="C18">
        <v>8</v>
      </c>
      <c r="D18" s="15" t="s">
        <v>416</v>
      </c>
      <c r="E18">
        <v>0</v>
      </c>
      <c r="F18" t="s">
        <v>1110</v>
      </c>
      <c r="G18">
        <v>0</v>
      </c>
      <c r="H18">
        <v>0</v>
      </c>
      <c r="I18" t="s">
        <v>843</v>
      </c>
      <c r="J18" s="16" t="s">
        <v>409</v>
      </c>
    </row>
    <row r="19" spans="2:10">
      <c r="B19" t="s">
        <v>418</v>
      </c>
      <c r="C19">
        <v>8</v>
      </c>
      <c r="D19" s="15" t="s">
        <v>418</v>
      </c>
      <c r="E19">
        <v>0</v>
      </c>
      <c r="F19" t="s">
        <v>1111</v>
      </c>
      <c r="G19">
        <v>0</v>
      </c>
      <c r="H19">
        <v>0</v>
      </c>
      <c r="I19" t="s">
        <v>843</v>
      </c>
      <c r="J19" s="16" t="s">
        <v>409</v>
      </c>
    </row>
    <row r="20" spans="2:10">
      <c r="B20" t="s">
        <v>420</v>
      </c>
      <c r="C20">
        <v>8</v>
      </c>
      <c r="D20" s="15" t="s">
        <v>420</v>
      </c>
      <c r="E20">
        <v>0</v>
      </c>
      <c r="F20" t="s">
        <v>1112</v>
      </c>
      <c r="G20">
        <v>0</v>
      </c>
      <c r="H20">
        <v>0</v>
      </c>
      <c r="I20" t="s">
        <v>843</v>
      </c>
      <c r="J20" s="16" t="s">
        <v>409</v>
      </c>
    </row>
    <row r="21" spans="2:10">
      <c r="B21" t="s">
        <v>153</v>
      </c>
      <c r="C21">
        <v>1</v>
      </c>
      <c r="D21" s="15" t="s">
        <v>43</v>
      </c>
      <c r="E21">
        <v>0</v>
      </c>
      <c r="F21" t="s">
        <v>1113</v>
      </c>
      <c r="G21">
        <v>0</v>
      </c>
      <c r="H21">
        <v>0</v>
      </c>
      <c r="I21" t="s">
        <v>843</v>
      </c>
      <c r="J21" s="16" t="s">
        <v>1114</v>
      </c>
    </row>
    <row r="22" spans="2:10">
      <c r="B22" t="s">
        <v>56</v>
      </c>
      <c r="C22">
        <v>1</v>
      </c>
      <c r="D22" s="15" t="s">
        <v>43</v>
      </c>
      <c r="E22">
        <v>1</v>
      </c>
      <c r="F22" t="s">
        <v>1115</v>
      </c>
      <c r="G22">
        <v>0</v>
      </c>
      <c r="H22">
        <v>0</v>
      </c>
      <c r="I22" t="s">
        <v>843</v>
      </c>
      <c r="J22" s="16" t="s">
        <v>1116</v>
      </c>
    </row>
    <row r="23" spans="2:10">
      <c r="B23" t="s">
        <v>51</v>
      </c>
      <c r="C23">
        <v>1</v>
      </c>
      <c r="D23" s="15" t="s">
        <v>43</v>
      </c>
      <c r="E23">
        <v>2</v>
      </c>
      <c r="F23" t="s">
        <v>1117</v>
      </c>
      <c r="G23">
        <v>0</v>
      </c>
      <c r="H23">
        <v>0</v>
      </c>
      <c r="I23" t="s">
        <v>843</v>
      </c>
      <c r="J23" s="15" t="s">
        <v>1118</v>
      </c>
    </row>
    <row r="24" spans="2:10">
      <c r="B24" s="14" t="s">
        <v>427</v>
      </c>
      <c r="C24" s="15">
        <v>2</v>
      </c>
      <c r="D24" s="15" t="s">
        <v>62</v>
      </c>
      <c r="E24" s="15">
        <v>0</v>
      </c>
      <c r="F24" s="15" t="s">
        <v>1119</v>
      </c>
      <c r="G24" s="15">
        <v>0</v>
      </c>
      <c r="H24" s="15">
        <v>0</v>
      </c>
      <c r="I24" s="15" t="s">
        <v>843</v>
      </c>
      <c r="J24" s="15" t="s">
        <v>1120</v>
      </c>
    </row>
    <row r="25" spans="2:10">
      <c r="B25" s="14" t="s">
        <v>426</v>
      </c>
      <c r="C25" s="15">
        <v>2</v>
      </c>
      <c r="D25" s="15" t="s">
        <v>62</v>
      </c>
      <c r="E25" s="15">
        <v>2</v>
      </c>
      <c r="F25" s="15" t="s">
        <v>1121</v>
      </c>
      <c r="G25" s="15">
        <v>0</v>
      </c>
      <c r="H25" s="15">
        <v>0</v>
      </c>
      <c r="I25" s="15" t="s">
        <v>843</v>
      </c>
      <c r="J25" s="15" t="s">
        <v>1122</v>
      </c>
    </row>
    <row r="26" spans="2:10">
      <c r="B26" s="14" t="s">
        <v>425</v>
      </c>
      <c r="C26" s="15">
        <v>2</v>
      </c>
      <c r="D26" s="15" t="s">
        <v>62</v>
      </c>
      <c r="E26" s="15">
        <v>4</v>
      </c>
      <c r="F26" s="15" t="s">
        <v>1123</v>
      </c>
      <c r="G26" s="15">
        <v>0</v>
      </c>
      <c r="H26" s="15">
        <v>0</v>
      </c>
      <c r="I26" s="15" t="s">
        <v>843</v>
      </c>
      <c r="J26" s="15" t="s">
        <v>1124</v>
      </c>
    </row>
    <row r="27" spans="2:10">
      <c r="B27" s="14" t="s">
        <v>431</v>
      </c>
      <c r="C27" s="15">
        <v>5</v>
      </c>
      <c r="D27" s="15" t="s">
        <v>429</v>
      </c>
      <c r="E27" s="15">
        <v>0</v>
      </c>
      <c r="F27" s="15" t="s">
        <v>1125</v>
      </c>
      <c r="G27" s="15">
        <v>0</v>
      </c>
      <c r="H27" s="15">
        <v>0</v>
      </c>
      <c r="I27" s="15" t="s">
        <v>843</v>
      </c>
      <c r="J27" s="15" t="s">
        <v>1126</v>
      </c>
    </row>
    <row r="28" spans="2:10">
      <c r="B28" s="14" t="s">
        <v>433</v>
      </c>
      <c r="C28" s="15">
        <v>8</v>
      </c>
      <c r="D28" s="15" t="s">
        <v>433</v>
      </c>
      <c r="E28" s="15">
        <v>0</v>
      </c>
      <c r="F28" s="15" t="s">
        <v>1127</v>
      </c>
      <c r="G28" s="15">
        <v>0</v>
      </c>
      <c r="H28" s="15">
        <v>0</v>
      </c>
      <c r="I28" s="15" t="s">
        <v>843</v>
      </c>
      <c r="J28" s="15" t="s">
        <v>1128</v>
      </c>
    </row>
    <row r="29" spans="2:10">
      <c r="B29" s="14" t="s">
        <v>165</v>
      </c>
      <c r="C29" s="15">
        <v>1</v>
      </c>
      <c r="D29" s="15" t="s">
        <v>471</v>
      </c>
      <c r="E29" s="15">
        <v>0</v>
      </c>
      <c r="F29" s="15" t="s">
        <v>1129</v>
      </c>
      <c r="G29" s="15">
        <v>0</v>
      </c>
      <c r="H29" s="15">
        <v>0</v>
      </c>
      <c r="I29" s="15" t="s">
        <v>814</v>
      </c>
      <c r="J29" s="15" t="s">
        <v>1130</v>
      </c>
    </row>
    <row r="30" spans="2:10">
      <c r="B30" s="14" t="s">
        <v>164</v>
      </c>
      <c r="C30" s="15">
        <v>1</v>
      </c>
      <c r="D30" s="15" t="s">
        <v>471</v>
      </c>
      <c r="E30" s="15">
        <v>1</v>
      </c>
      <c r="F30" s="15" t="s">
        <v>1131</v>
      </c>
      <c r="G30" s="15">
        <v>0</v>
      </c>
      <c r="H30" s="15">
        <v>0</v>
      </c>
      <c r="I30" s="15" t="s">
        <v>814</v>
      </c>
      <c r="J30" s="15" t="s">
        <v>1132</v>
      </c>
    </row>
    <row r="31" spans="2:10">
      <c r="B31" s="14" t="s">
        <v>163</v>
      </c>
      <c r="C31" s="15">
        <v>1</v>
      </c>
      <c r="D31" s="15" t="s">
        <v>471</v>
      </c>
      <c r="E31" s="15">
        <v>2</v>
      </c>
      <c r="F31" s="15" t="s">
        <v>1133</v>
      </c>
      <c r="G31" s="15">
        <v>0</v>
      </c>
      <c r="H31" s="15">
        <v>0</v>
      </c>
      <c r="I31" s="15" t="s">
        <v>814</v>
      </c>
      <c r="J31" s="15" t="s">
        <v>1134</v>
      </c>
    </row>
    <row r="32" spans="2:10">
      <c r="B32" s="14" t="s">
        <v>175</v>
      </c>
      <c r="C32" s="15">
        <v>1</v>
      </c>
      <c r="D32" s="15" t="s">
        <v>471</v>
      </c>
      <c r="E32" s="15">
        <v>3</v>
      </c>
      <c r="F32" s="15" t="s">
        <v>1135</v>
      </c>
      <c r="G32" s="15">
        <v>0</v>
      </c>
      <c r="H32" s="15">
        <v>0</v>
      </c>
      <c r="I32" s="15" t="s">
        <v>814</v>
      </c>
      <c r="J32" s="15" t="s">
        <v>1136</v>
      </c>
    </row>
    <row r="33" spans="2:10">
      <c r="B33" s="14" t="s">
        <v>174</v>
      </c>
      <c r="C33" s="15">
        <v>1</v>
      </c>
      <c r="D33" s="15" t="s">
        <v>471</v>
      </c>
      <c r="E33" s="15">
        <v>4</v>
      </c>
      <c r="F33" s="15" t="s">
        <v>1137</v>
      </c>
      <c r="G33" s="15">
        <v>0</v>
      </c>
      <c r="H33" s="15">
        <v>0</v>
      </c>
      <c r="I33" s="15" t="s">
        <v>814</v>
      </c>
      <c r="J33" s="15" t="s">
        <v>1138</v>
      </c>
    </row>
    <row r="34" spans="2:10">
      <c r="B34" s="14" t="s">
        <v>173</v>
      </c>
      <c r="C34" s="15">
        <v>1</v>
      </c>
      <c r="D34" s="15" t="s">
        <v>471</v>
      </c>
      <c r="E34" s="15">
        <v>5</v>
      </c>
      <c r="F34" s="15" t="s">
        <v>1139</v>
      </c>
      <c r="G34" s="15">
        <v>0</v>
      </c>
      <c r="H34" s="15">
        <v>0</v>
      </c>
      <c r="I34" s="15" t="s">
        <v>814</v>
      </c>
      <c r="J34" s="15" t="s">
        <v>1140</v>
      </c>
    </row>
    <row r="35" spans="2:10">
      <c r="B35" s="14" t="s">
        <v>172</v>
      </c>
      <c r="C35" s="15">
        <v>1</v>
      </c>
      <c r="D35" s="15" t="s">
        <v>474</v>
      </c>
      <c r="E35" s="15">
        <v>0</v>
      </c>
      <c r="F35" s="15" t="s">
        <v>1141</v>
      </c>
      <c r="G35" s="15">
        <v>0</v>
      </c>
      <c r="H35" s="15">
        <v>0</v>
      </c>
      <c r="I35" s="15" t="s">
        <v>814</v>
      </c>
      <c r="J35" s="15" t="s">
        <v>1142</v>
      </c>
    </row>
    <row r="36" spans="2:10">
      <c r="B36" s="14" t="s">
        <v>171</v>
      </c>
      <c r="C36" s="15">
        <v>1</v>
      </c>
      <c r="D36" s="15" t="s">
        <v>474</v>
      </c>
      <c r="E36" s="15">
        <v>1</v>
      </c>
      <c r="F36" s="15" t="s">
        <v>1143</v>
      </c>
      <c r="G36" s="15">
        <v>0</v>
      </c>
      <c r="H36" s="15">
        <v>0</v>
      </c>
      <c r="I36" s="15" t="s">
        <v>814</v>
      </c>
      <c r="J36" s="15" t="s">
        <v>1144</v>
      </c>
    </row>
    <row r="37" spans="2:10">
      <c r="B37" s="14" t="s">
        <v>170</v>
      </c>
      <c r="C37" s="15">
        <v>1</v>
      </c>
      <c r="D37" s="15" t="s">
        <v>474</v>
      </c>
      <c r="E37" s="15">
        <v>2</v>
      </c>
      <c r="F37" s="15" t="s">
        <v>1145</v>
      </c>
      <c r="G37" s="15">
        <v>0</v>
      </c>
      <c r="H37" s="15">
        <v>0</v>
      </c>
      <c r="I37" s="15" t="s">
        <v>814</v>
      </c>
      <c r="J37" s="15" t="s">
        <v>1146</v>
      </c>
    </row>
    <row r="38" spans="2:10">
      <c r="B38" s="14" t="s">
        <v>169</v>
      </c>
      <c r="C38" s="15">
        <v>1</v>
      </c>
      <c r="D38" s="15" t="s">
        <v>474</v>
      </c>
      <c r="E38" s="15">
        <v>3</v>
      </c>
      <c r="F38" s="15" t="s">
        <v>1147</v>
      </c>
      <c r="G38" s="15">
        <v>0</v>
      </c>
      <c r="H38" s="15">
        <v>0</v>
      </c>
      <c r="I38" s="15" t="s">
        <v>814</v>
      </c>
      <c r="J38" s="15" t="s">
        <v>1148</v>
      </c>
    </row>
    <row r="39" spans="2:10">
      <c r="B39" s="14" t="s">
        <v>168</v>
      </c>
      <c r="C39" s="15">
        <v>1</v>
      </c>
      <c r="D39" s="15" t="s">
        <v>474</v>
      </c>
      <c r="E39" s="15">
        <v>4</v>
      </c>
      <c r="F39" s="15" t="s">
        <v>1149</v>
      </c>
      <c r="G39" s="15">
        <v>0</v>
      </c>
      <c r="H39" s="15">
        <v>0</v>
      </c>
      <c r="I39" s="15" t="s">
        <v>814</v>
      </c>
      <c r="J39" s="15" t="s">
        <v>1150</v>
      </c>
    </row>
    <row r="40" spans="2:10">
      <c r="B40" s="14" t="s">
        <v>163</v>
      </c>
      <c r="C40" s="15">
        <v>1</v>
      </c>
      <c r="D40" s="15" t="s">
        <v>476</v>
      </c>
      <c r="E40" s="15">
        <v>2</v>
      </c>
      <c r="F40" s="15" t="s">
        <v>1151</v>
      </c>
      <c r="G40" s="15">
        <v>0</v>
      </c>
      <c r="H40" s="15">
        <v>0</v>
      </c>
      <c r="I40" s="15" t="s">
        <v>814</v>
      </c>
      <c r="J40" s="15" t="s">
        <v>1152</v>
      </c>
    </row>
    <row r="41" spans="2:10">
      <c r="B41" s="14" t="s">
        <v>175</v>
      </c>
      <c r="C41" s="15">
        <v>1</v>
      </c>
      <c r="D41" s="15" t="s">
        <v>476</v>
      </c>
      <c r="E41" s="15">
        <v>3</v>
      </c>
      <c r="F41" s="15" t="s">
        <v>1153</v>
      </c>
      <c r="G41" s="15">
        <v>0</v>
      </c>
      <c r="H41" s="15">
        <v>0</v>
      </c>
      <c r="I41" s="15" t="s">
        <v>814</v>
      </c>
      <c r="J41" s="15" t="s">
        <v>1154</v>
      </c>
    </row>
    <row r="42" spans="2:10">
      <c r="B42" s="14" t="s">
        <v>174</v>
      </c>
      <c r="C42" s="15">
        <v>1</v>
      </c>
      <c r="D42" s="15" t="s">
        <v>476</v>
      </c>
      <c r="E42" s="15">
        <v>4</v>
      </c>
      <c r="F42" s="15" t="s">
        <v>1155</v>
      </c>
      <c r="G42" s="15">
        <v>0</v>
      </c>
      <c r="H42" s="15">
        <v>0</v>
      </c>
      <c r="I42" s="15" t="s">
        <v>814</v>
      </c>
      <c r="J42" s="15" t="s">
        <v>1156</v>
      </c>
    </row>
    <row r="43" spans="2:10">
      <c r="B43" s="14" t="s">
        <v>179</v>
      </c>
      <c r="C43" s="15">
        <v>1</v>
      </c>
      <c r="D43" s="15" t="s">
        <v>479</v>
      </c>
      <c r="E43" s="15">
        <v>5</v>
      </c>
      <c r="F43" s="15" t="s">
        <v>1157</v>
      </c>
      <c r="G43" s="15">
        <v>0</v>
      </c>
      <c r="H43" s="15">
        <v>0</v>
      </c>
      <c r="I43" s="15" t="s">
        <v>814</v>
      </c>
      <c r="J43" s="15" t="s">
        <v>1158</v>
      </c>
    </row>
    <row r="44" ht="28.8" spans="2:10">
      <c r="B44" s="14" t="s">
        <v>487</v>
      </c>
      <c r="C44" s="15">
        <v>2</v>
      </c>
      <c r="D44" s="15" t="s">
        <v>481</v>
      </c>
      <c r="E44" s="15">
        <v>0</v>
      </c>
      <c r="F44" s="15" t="s">
        <v>1159</v>
      </c>
      <c r="G44" s="15">
        <v>2</v>
      </c>
      <c r="H44" s="15">
        <v>2</v>
      </c>
      <c r="I44" s="15" t="s">
        <v>814</v>
      </c>
      <c r="J44" s="18" t="s">
        <v>1160</v>
      </c>
    </row>
    <row r="45" ht="28.8" spans="2:10">
      <c r="B45" s="14" t="s">
        <v>486</v>
      </c>
      <c r="C45" s="15">
        <v>2</v>
      </c>
      <c r="D45" s="15" t="s">
        <v>481</v>
      </c>
      <c r="E45" s="15">
        <v>2</v>
      </c>
      <c r="F45" s="15" t="s">
        <v>1161</v>
      </c>
      <c r="G45" s="15">
        <v>0</v>
      </c>
      <c r="H45" s="15">
        <v>0</v>
      </c>
      <c r="I45" s="15" t="s">
        <v>814</v>
      </c>
      <c r="J45" s="18" t="s">
        <v>1162</v>
      </c>
    </row>
    <row r="46" ht="28.8" spans="2:10">
      <c r="B46" s="14" t="s">
        <v>485</v>
      </c>
      <c r="C46" s="15">
        <v>2</v>
      </c>
      <c r="D46" s="15" t="s">
        <v>481</v>
      </c>
      <c r="E46" s="15">
        <v>4</v>
      </c>
      <c r="F46" s="15" t="s">
        <v>1163</v>
      </c>
      <c r="G46" s="15">
        <v>2</v>
      </c>
      <c r="H46" s="15">
        <v>2</v>
      </c>
      <c r="I46" s="15" t="s">
        <v>814</v>
      </c>
      <c r="J46" s="18" t="s">
        <v>1164</v>
      </c>
    </row>
    <row r="47" ht="28.8" spans="2:10">
      <c r="B47" s="14" t="s">
        <v>484</v>
      </c>
      <c r="C47" s="15">
        <v>2</v>
      </c>
      <c r="D47" s="15" t="s">
        <v>481</v>
      </c>
      <c r="E47" s="15">
        <v>6</v>
      </c>
      <c r="F47" s="15" t="s">
        <v>1165</v>
      </c>
      <c r="G47" s="15">
        <v>2</v>
      </c>
      <c r="H47" s="15">
        <v>2</v>
      </c>
      <c r="I47" s="15" t="s">
        <v>814</v>
      </c>
      <c r="J47" s="18" t="s">
        <v>1166</v>
      </c>
    </row>
    <row r="48" ht="28.8" spans="2:10">
      <c r="B48" s="14" t="s">
        <v>172</v>
      </c>
      <c r="C48" s="15">
        <v>2</v>
      </c>
      <c r="D48" s="15" t="s">
        <v>489</v>
      </c>
      <c r="E48" s="15">
        <v>0</v>
      </c>
      <c r="F48" s="15" t="s">
        <v>1167</v>
      </c>
      <c r="G48" s="15">
        <v>2</v>
      </c>
      <c r="H48" s="15">
        <v>2</v>
      </c>
      <c r="I48" s="15" t="s">
        <v>814</v>
      </c>
      <c r="J48" s="18" t="s">
        <v>1168</v>
      </c>
    </row>
    <row r="49" ht="28.8" spans="2:10">
      <c r="B49" s="14" t="s">
        <v>171</v>
      </c>
      <c r="C49" s="15">
        <v>2</v>
      </c>
      <c r="D49" s="15" t="s">
        <v>489</v>
      </c>
      <c r="E49" s="15">
        <v>2</v>
      </c>
      <c r="F49" s="15" t="s">
        <v>1169</v>
      </c>
      <c r="G49" s="15">
        <v>2</v>
      </c>
      <c r="H49" s="15">
        <v>2</v>
      </c>
      <c r="I49" s="15" t="s">
        <v>814</v>
      </c>
      <c r="J49" s="18" t="s">
        <v>1170</v>
      </c>
    </row>
    <row r="50" ht="28.8" spans="2:10">
      <c r="B50" s="14" t="s">
        <v>164</v>
      </c>
      <c r="C50" s="15">
        <v>2</v>
      </c>
      <c r="D50" s="15" t="s">
        <v>489</v>
      </c>
      <c r="E50" s="15">
        <v>4</v>
      </c>
      <c r="F50" s="15" t="s">
        <v>1171</v>
      </c>
      <c r="G50" s="15">
        <v>2</v>
      </c>
      <c r="H50" s="15">
        <v>2</v>
      </c>
      <c r="I50" s="15" t="s">
        <v>814</v>
      </c>
      <c r="J50" s="18" t="s">
        <v>1172</v>
      </c>
    </row>
    <row r="51" ht="28.8" spans="2:10">
      <c r="B51" s="14" t="s">
        <v>165</v>
      </c>
      <c r="C51" s="15">
        <v>2</v>
      </c>
      <c r="D51" s="15" t="s">
        <v>489</v>
      </c>
      <c r="E51" s="15">
        <v>6</v>
      </c>
      <c r="F51" s="15" t="s">
        <v>1173</v>
      </c>
      <c r="G51" s="15">
        <v>2</v>
      </c>
      <c r="H51" s="15">
        <v>2</v>
      </c>
      <c r="I51" s="15" t="s">
        <v>814</v>
      </c>
      <c r="J51" s="18" t="s">
        <v>1174</v>
      </c>
    </row>
    <row r="52" ht="28.8" spans="2:10">
      <c r="B52" s="14" t="s">
        <v>170</v>
      </c>
      <c r="C52" s="15">
        <v>2</v>
      </c>
      <c r="D52" s="15" t="s">
        <v>492</v>
      </c>
      <c r="E52" s="15">
        <v>0</v>
      </c>
      <c r="F52" s="15" t="s">
        <v>1175</v>
      </c>
      <c r="G52" s="15">
        <v>2</v>
      </c>
      <c r="H52" s="15">
        <v>2</v>
      </c>
      <c r="I52" s="15" t="s">
        <v>814</v>
      </c>
      <c r="J52" s="18" t="s">
        <v>1176</v>
      </c>
    </row>
    <row r="53" ht="28.8" spans="2:10">
      <c r="B53" s="14" t="s">
        <v>169</v>
      </c>
      <c r="C53" s="15">
        <v>2</v>
      </c>
      <c r="D53" s="15" t="s">
        <v>492</v>
      </c>
      <c r="E53" s="15">
        <v>2</v>
      </c>
      <c r="F53" s="15" t="s">
        <v>1177</v>
      </c>
      <c r="G53" s="15">
        <v>2</v>
      </c>
      <c r="H53" s="15">
        <v>2</v>
      </c>
      <c r="I53" s="15" t="s">
        <v>814</v>
      </c>
      <c r="J53" s="18" t="s">
        <v>1178</v>
      </c>
    </row>
    <row r="54" ht="28.8" spans="2:10">
      <c r="B54" s="14" t="s">
        <v>168</v>
      </c>
      <c r="C54" s="15">
        <v>2</v>
      </c>
      <c r="D54" s="15" t="s">
        <v>492</v>
      </c>
      <c r="E54" s="15">
        <v>4</v>
      </c>
      <c r="F54" s="15" t="s">
        <v>1179</v>
      </c>
      <c r="G54" s="15">
        <v>2</v>
      </c>
      <c r="H54" s="15">
        <v>2</v>
      </c>
      <c r="I54" s="15" t="s">
        <v>814</v>
      </c>
      <c r="J54" s="18" t="s">
        <v>1180</v>
      </c>
    </row>
    <row r="55" ht="28.8" spans="2:10">
      <c r="B55" s="14" t="s">
        <v>173</v>
      </c>
      <c r="C55" s="15">
        <v>2</v>
      </c>
      <c r="D55" s="15" t="s">
        <v>492</v>
      </c>
      <c r="E55" s="15">
        <v>6</v>
      </c>
      <c r="F55" s="15" t="s">
        <v>1181</v>
      </c>
      <c r="G55" s="15">
        <v>2</v>
      </c>
      <c r="H55" s="15">
        <v>2</v>
      </c>
      <c r="I55" s="15" t="s">
        <v>814</v>
      </c>
      <c r="J55" s="18" t="s">
        <v>1182</v>
      </c>
    </row>
    <row r="56" ht="28.8" spans="2:10">
      <c r="B56" s="14" t="s">
        <v>496</v>
      </c>
      <c r="C56" s="15">
        <v>2</v>
      </c>
      <c r="D56" s="15" t="s">
        <v>494</v>
      </c>
      <c r="E56" s="15">
        <v>0</v>
      </c>
      <c r="F56" s="15" t="s">
        <v>1183</v>
      </c>
      <c r="G56" s="15">
        <v>2</v>
      </c>
      <c r="H56" s="15">
        <v>2</v>
      </c>
      <c r="I56" s="15" t="s">
        <v>814</v>
      </c>
      <c r="J56" s="18" t="s">
        <v>1184</v>
      </c>
    </row>
    <row r="57" ht="43.2" spans="2:10">
      <c r="B57" s="14" t="s">
        <v>500</v>
      </c>
      <c r="C57" s="15">
        <v>3</v>
      </c>
      <c r="D57" s="15" t="s">
        <v>497</v>
      </c>
      <c r="E57" s="15">
        <v>0</v>
      </c>
      <c r="F57" s="15" t="s">
        <v>1185</v>
      </c>
      <c r="G57" s="15">
        <v>0</v>
      </c>
      <c r="H57" s="15">
        <v>4</v>
      </c>
      <c r="I57" s="15" t="s">
        <v>814</v>
      </c>
      <c r="J57" s="18" t="s">
        <v>1186</v>
      </c>
    </row>
    <row r="58" ht="43.2" spans="2:10">
      <c r="B58" s="14" t="s">
        <v>499</v>
      </c>
      <c r="C58" s="15">
        <v>3</v>
      </c>
      <c r="D58" s="15" t="s">
        <v>497</v>
      </c>
      <c r="E58" s="15">
        <v>4</v>
      </c>
      <c r="F58" s="15" t="s">
        <v>1187</v>
      </c>
      <c r="G58" s="15">
        <v>0</v>
      </c>
      <c r="H58" s="15">
        <v>2</v>
      </c>
      <c r="I58" s="15" t="s">
        <v>814</v>
      </c>
      <c r="J58" s="18" t="s">
        <v>1188</v>
      </c>
    </row>
    <row r="59" ht="43.2" spans="2:10">
      <c r="B59" s="14" t="s">
        <v>505</v>
      </c>
      <c r="C59" s="15">
        <v>3</v>
      </c>
      <c r="D59" s="15" t="s">
        <v>502</v>
      </c>
      <c r="E59" s="15">
        <v>0</v>
      </c>
      <c r="F59" s="15" t="s">
        <v>1189</v>
      </c>
      <c r="G59" s="15">
        <v>0</v>
      </c>
      <c r="H59" s="15">
        <v>2</v>
      </c>
      <c r="I59" s="15" t="s">
        <v>814</v>
      </c>
      <c r="J59" s="18" t="s">
        <v>1190</v>
      </c>
    </row>
    <row r="60" ht="43.2" spans="2:10">
      <c r="B60" s="14" t="s">
        <v>504</v>
      </c>
      <c r="C60" s="15">
        <v>3</v>
      </c>
      <c r="D60" s="15" t="s">
        <v>502</v>
      </c>
      <c r="E60" s="15">
        <v>4</v>
      </c>
      <c r="F60" s="15" t="s">
        <v>1191</v>
      </c>
      <c r="G60" s="15">
        <v>0</v>
      </c>
      <c r="H60" s="15">
        <v>2</v>
      </c>
      <c r="I60" s="15" t="s">
        <v>814</v>
      </c>
      <c r="J60" s="18" t="s">
        <v>1192</v>
      </c>
    </row>
    <row r="61" ht="43.2" spans="2:10">
      <c r="B61" s="14" t="s">
        <v>509</v>
      </c>
      <c r="C61" s="15">
        <v>3</v>
      </c>
      <c r="D61" s="15" t="s">
        <v>506</v>
      </c>
      <c r="E61" s="15">
        <v>0</v>
      </c>
      <c r="F61" s="15" t="s">
        <v>1193</v>
      </c>
      <c r="G61" s="15">
        <v>0</v>
      </c>
      <c r="H61" s="15">
        <v>2</v>
      </c>
      <c r="I61" s="15" t="s">
        <v>814</v>
      </c>
      <c r="J61" s="18" t="s">
        <v>1194</v>
      </c>
    </row>
    <row r="62" ht="43.2" spans="2:10">
      <c r="B62" s="14" t="s">
        <v>508</v>
      </c>
      <c r="C62" s="15">
        <v>3</v>
      </c>
      <c r="D62" s="15" t="s">
        <v>506</v>
      </c>
      <c r="E62" s="15">
        <v>4</v>
      </c>
      <c r="F62" s="15" t="s">
        <v>1195</v>
      </c>
      <c r="G62" s="15">
        <v>0</v>
      </c>
      <c r="H62" s="15">
        <v>2</v>
      </c>
      <c r="I62" s="15" t="s">
        <v>814</v>
      </c>
      <c r="J62" s="18" t="s">
        <v>1196</v>
      </c>
    </row>
    <row r="63" ht="43.2" spans="2:10">
      <c r="B63" s="14" t="s">
        <v>513</v>
      </c>
      <c r="C63" s="15">
        <v>3</v>
      </c>
      <c r="D63" s="15" t="s">
        <v>510</v>
      </c>
      <c r="E63" s="15">
        <v>0</v>
      </c>
      <c r="F63" s="15" t="s">
        <v>1197</v>
      </c>
      <c r="G63" s="15">
        <v>0</v>
      </c>
      <c r="H63" s="15">
        <v>0</v>
      </c>
      <c r="I63" s="15" t="s">
        <v>814</v>
      </c>
      <c r="J63" s="18" t="s">
        <v>1198</v>
      </c>
    </row>
    <row r="64" ht="43.2" spans="2:10">
      <c r="B64" s="14" t="s">
        <v>512</v>
      </c>
      <c r="C64" s="15">
        <v>3</v>
      </c>
      <c r="D64" s="15" t="s">
        <v>510</v>
      </c>
      <c r="E64" s="15">
        <v>4</v>
      </c>
      <c r="F64" s="15" t="s">
        <v>1199</v>
      </c>
      <c r="G64" s="15">
        <v>0</v>
      </c>
      <c r="H64" s="15">
        <v>2</v>
      </c>
      <c r="I64" s="15" t="s">
        <v>996</v>
      </c>
      <c r="J64" s="18" t="s">
        <v>1200</v>
      </c>
    </row>
    <row r="65" ht="43.2" spans="2:10">
      <c r="B65" s="14" t="s">
        <v>516</v>
      </c>
      <c r="C65" s="15">
        <v>3</v>
      </c>
      <c r="D65" s="15" t="s">
        <v>514</v>
      </c>
      <c r="E65" s="15">
        <v>0</v>
      </c>
      <c r="F65" s="15" t="s">
        <v>1201</v>
      </c>
      <c r="G65" s="15">
        <v>0</v>
      </c>
      <c r="H65" s="15">
        <v>2</v>
      </c>
      <c r="I65" s="15" t="s">
        <v>814</v>
      </c>
      <c r="J65" s="18" t="s">
        <v>1202</v>
      </c>
    </row>
    <row r="66" spans="2:10">
      <c r="B66" s="14" t="s">
        <v>215</v>
      </c>
      <c r="C66" s="15">
        <v>1</v>
      </c>
      <c r="D66" s="15" t="s">
        <v>83</v>
      </c>
      <c r="E66" s="15">
        <v>0</v>
      </c>
      <c r="F66" s="15" t="s">
        <v>1203</v>
      </c>
      <c r="G66" s="15">
        <v>0</v>
      </c>
      <c r="H66" s="15">
        <v>0</v>
      </c>
      <c r="I66" s="15" t="s">
        <v>814</v>
      </c>
      <c r="J66" s="15" t="s">
        <v>93</v>
      </c>
    </row>
    <row r="67" spans="2:10">
      <c r="B67" s="14" t="s">
        <v>90</v>
      </c>
      <c r="C67" s="15">
        <v>1</v>
      </c>
      <c r="D67" s="15" t="s">
        <v>83</v>
      </c>
      <c r="E67" s="15">
        <v>1</v>
      </c>
      <c r="F67" s="15" t="s">
        <v>1204</v>
      </c>
      <c r="G67" s="15">
        <v>0</v>
      </c>
      <c r="H67" s="15">
        <v>0</v>
      </c>
      <c r="I67" s="15" t="s">
        <v>814</v>
      </c>
      <c r="J67" s="15" t="s">
        <v>91</v>
      </c>
    </row>
    <row r="68" ht="28.8" spans="2:10">
      <c r="B68" s="14" t="s">
        <v>88</v>
      </c>
      <c r="C68" s="15">
        <v>2</v>
      </c>
      <c r="D68" s="15" t="s">
        <v>83</v>
      </c>
      <c r="E68" s="15">
        <v>2</v>
      </c>
      <c r="F68" s="15" t="s">
        <v>1205</v>
      </c>
      <c r="G68" s="15">
        <v>0</v>
      </c>
      <c r="H68" s="15">
        <v>0</v>
      </c>
      <c r="I68" s="15" t="s">
        <v>814</v>
      </c>
      <c r="J68" s="18" t="s">
        <v>89</v>
      </c>
    </row>
    <row r="69" spans="2:10">
      <c r="B69" s="14" t="s">
        <v>441</v>
      </c>
      <c r="C69" s="15">
        <v>8</v>
      </c>
      <c r="D69" s="15" t="s">
        <v>439</v>
      </c>
      <c r="E69" s="15">
        <v>0</v>
      </c>
      <c r="F69" s="15" t="s">
        <v>1206</v>
      </c>
      <c r="G69" s="15">
        <v>120</v>
      </c>
      <c r="H69" s="15">
        <v>120</v>
      </c>
      <c r="I69" s="15" t="s">
        <v>814</v>
      </c>
      <c r="J69" s="15" t="s">
        <v>1207</v>
      </c>
    </row>
    <row r="70" spans="2:10">
      <c r="B70" s="14" t="s">
        <v>444</v>
      </c>
      <c r="C70" s="15">
        <v>4</v>
      </c>
      <c r="D70" s="15" t="s">
        <v>442</v>
      </c>
      <c r="E70" s="15">
        <v>0</v>
      </c>
      <c r="F70" s="15" t="s">
        <v>1208</v>
      </c>
      <c r="G70" s="15">
        <v>0</v>
      </c>
      <c r="H70" s="15">
        <v>0</v>
      </c>
      <c r="I70" s="15" t="s">
        <v>814</v>
      </c>
      <c r="J70" s="15" t="s">
        <v>1207</v>
      </c>
    </row>
    <row r="71" spans="2:10">
      <c r="B71" s="14" t="s">
        <v>447</v>
      </c>
      <c r="C71" s="15">
        <v>7</v>
      </c>
      <c r="D71" s="15" t="s">
        <v>445</v>
      </c>
      <c r="E71" s="15">
        <v>0</v>
      </c>
      <c r="F71" s="15" t="s">
        <v>1209</v>
      </c>
      <c r="G71" s="15">
        <v>126</v>
      </c>
      <c r="H71" s="15">
        <v>126</v>
      </c>
      <c r="I71" s="15" t="s">
        <v>814</v>
      </c>
      <c r="J71" s="15" t="s">
        <v>1210</v>
      </c>
    </row>
    <row r="72" ht="28.8" spans="2:10">
      <c r="B72" s="14" t="s">
        <v>450</v>
      </c>
      <c r="C72" s="15">
        <v>8</v>
      </c>
      <c r="D72" s="15" t="s">
        <v>448</v>
      </c>
      <c r="E72" s="15">
        <v>0</v>
      </c>
      <c r="F72" s="15" t="s">
        <v>1211</v>
      </c>
      <c r="G72" s="15">
        <v>16</v>
      </c>
      <c r="H72" s="15">
        <v>16</v>
      </c>
      <c r="I72" s="15" t="s">
        <v>814</v>
      </c>
      <c r="J72" s="18" t="s">
        <v>1212</v>
      </c>
    </row>
    <row r="73" spans="2:10">
      <c r="B73" s="14" t="s">
        <v>453</v>
      </c>
      <c r="C73" s="15">
        <v>8</v>
      </c>
      <c r="D73" s="15" t="s">
        <v>451</v>
      </c>
      <c r="E73" s="15">
        <v>0</v>
      </c>
      <c r="F73" s="15" t="s">
        <v>1213</v>
      </c>
      <c r="G73" s="15">
        <v>0</v>
      </c>
      <c r="H73" s="15">
        <v>80</v>
      </c>
      <c r="I73" s="15" t="s">
        <v>814</v>
      </c>
      <c r="J73" s="15" t="s">
        <v>1214</v>
      </c>
    </row>
    <row r="74" spans="2:10">
      <c r="B74" s="14" t="s">
        <v>456</v>
      </c>
      <c r="C74" s="15">
        <v>4</v>
      </c>
      <c r="D74" s="15" t="s">
        <v>454</v>
      </c>
      <c r="E74" s="15">
        <v>0</v>
      </c>
      <c r="F74" s="15" t="s">
        <v>1215</v>
      </c>
      <c r="G74" s="15">
        <v>0</v>
      </c>
      <c r="H74" s="15">
        <v>0</v>
      </c>
      <c r="I74" s="15" t="s">
        <v>814</v>
      </c>
      <c r="J74" s="15" t="s">
        <v>1214</v>
      </c>
    </row>
    <row r="75" spans="2:10">
      <c r="B75" s="14" t="s">
        <v>461</v>
      </c>
      <c r="C75" s="15">
        <v>8</v>
      </c>
      <c r="D75" s="15" t="s">
        <v>457</v>
      </c>
      <c r="E75" s="15">
        <v>0</v>
      </c>
      <c r="F75" s="15" t="s">
        <v>1216</v>
      </c>
      <c r="G75" s="15">
        <v>255</v>
      </c>
      <c r="H75" s="15">
        <v>176</v>
      </c>
      <c r="I75" s="15" t="s">
        <v>814</v>
      </c>
      <c r="J75" s="15" t="s">
        <v>1217</v>
      </c>
    </row>
    <row r="76" spans="2:10">
      <c r="B76" s="14" t="s">
        <v>464</v>
      </c>
      <c r="C76" s="15">
        <v>4</v>
      </c>
      <c r="D76" s="15" t="s">
        <v>462</v>
      </c>
      <c r="E76" s="15">
        <v>0</v>
      </c>
      <c r="F76" s="15" t="s">
        <v>1218</v>
      </c>
      <c r="G76" s="15">
        <v>15</v>
      </c>
      <c r="H76" s="15">
        <v>4</v>
      </c>
      <c r="I76" s="15"/>
      <c r="J76" s="15" t="s">
        <v>1217</v>
      </c>
    </row>
    <row r="77" spans="2:10">
      <c r="B77" s="14" t="s">
        <v>469</v>
      </c>
      <c r="C77" s="15">
        <v>4</v>
      </c>
      <c r="D77" s="15" t="s">
        <v>465</v>
      </c>
      <c r="E77" s="15">
        <v>0</v>
      </c>
      <c r="F77" s="15" t="s">
        <v>1219</v>
      </c>
      <c r="G77" s="15">
        <v>11</v>
      </c>
      <c r="H77" s="15">
        <v>11</v>
      </c>
      <c r="I77" s="15" t="s">
        <v>814</v>
      </c>
      <c r="J77" s="15" t="s">
        <v>1220</v>
      </c>
    </row>
    <row r="78" spans="2:10">
      <c r="B78" s="14" t="s">
        <v>468</v>
      </c>
      <c r="C78" s="15">
        <v>4</v>
      </c>
      <c r="D78" s="15" t="s">
        <v>465</v>
      </c>
      <c r="E78" s="15">
        <v>4</v>
      </c>
      <c r="F78" s="15" t="s">
        <v>1221</v>
      </c>
      <c r="G78" s="15">
        <v>11</v>
      </c>
      <c r="H78" s="15">
        <v>11</v>
      </c>
      <c r="I78" s="15" t="s">
        <v>814</v>
      </c>
      <c r="J78" s="15" t="s">
        <v>1222</v>
      </c>
    </row>
    <row r="79" spans="2:10">
      <c r="B79" s="14" t="s">
        <v>240</v>
      </c>
      <c r="C79" s="15">
        <v>1</v>
      </c>
      <c r="D79" s="15" t="s">
        <v>523</v>
      </c>
      <c r="E79" s="15">
        <v>0</v>
      </c>
      <c r="F79" s="15" t="s">
        <v>1223</v>
      </c>
      <c r="G79" s="15">
        <v>1</v>
      </c>
      <c r="H79" s="15">
        <v>0</v>
      </c>
      <c r="I79" s="15" t="s">
        <v>814</v>
      </c>
      <c r="J79" s="15" t="s">
        <v>1224</v>
      </c>
    </row>
    <row r="80" spans="2:10">
      <c r="B80" s="14" t="s">
        <v>239</v>
      </c>
      <c r="C80" s="15">
        <v>1</v>
      </c>
      <c r="D80" s="15" t="s">
        <v>531</v>
      </c>
      <c r="E80" s="15">
        <v>0</v>
      </c>
      <c r="F80" s="15" t="s">
        <v>1225</v>
      </c>
      <c r="G80" s="15">
        <v>0</v>
      </c>
      <c r="H80" s="15">
        <v>0</v>
      </c>
      <c r="I80" s="15" t="s">
        <v>814</v>
      </c>
      <c r="J80" s="15" t="s">
        <v>1226</v>
      </c>
    </row>
    <row r="81" spans="2:10">
      <c r="B81" s="14" t="s">
        <v>245</v>
      </c>
      <c r="C81" s="15">
        <v>1</v>
      </c>
      <c r="D81" s="15" t="s">
        <v>531</v>
      </c>
      <c r="E81" s="15">
        <v>1</v>
      </c>
      <c r="F81" s="15" t="s">
        <v>1227</v>
      </c>
      <c r="G81" s="15">
        <v>1</v>
      </c>
      <c r="H81" s="15">
        <v>0</v>
      </c>
      <c r="I81" s="15" t="s">
        <v>814</v>
      </c>
      <c r="J81" s="15" t="s">
        <v>1228</v>
      </c>
    </row>
    <row r="82" spans="2:10">
      <c r="B82" s="14" t="s">
        <v>537</v>
      </c>
      <c r="C82" s="15">
        <v>8</v>
      </c>
      <c r="D82" s="15" t="s">
        <v>535</v>
      </c>
      <c r="E82" s="15">
        <v>0</v>
      </c>
      <c r="F82" s="15" t="s">
        <v>1229</v>
      </c>
      <c r="G82" s="15">
        <v>0</v>
      </c>
      <c r="H82" s="15">
        <v>0</v>
      </c>
      <c r="I82" s="15" t="s">
        <v>814</v>
      </c>
      <c r="J82" s="15" t="s">
        <v>1230</v>
      </c>
    </row>
    <row r="83" spans="2:3">
      <c r="B83" s="19" t="s">
        <v>1231</v>
      </c>
      <c r="C83" s="20">
        <f>ShadowBits-SUM(ShadowTable[Width])</f>
        <v>0</v>
      </c>
    </row>
  </sheetData>
  <pageMargins left="0.7" right="0.7" top="0.75" bottom="0.75" header="0.3" footer="0.3"/>
  <pageSetup paperSize="1" orientation="portrait" horizontalDpi="90" verticalDpi="90"/>
  <headerFooter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B2:D77"/>
  <sheetViews>
    <sheetView topLeftCell="A10" workbookViewId="0">
      <selection activeCell="B78" sqref="B78"/>
    </sheetView>
  </sheetViews>
  <sheetFormatPr defaultColWidth="9" defaultRowHeight="14.4" outlineLevelCol="3"/>
  <cols>
    <col min="1" max="1" width="3.28703703703704" customWidth="1"/>
    <col min="2" max="2" width="31" customWidth="1"/>
    <col min="3" max="3" width="39" customWidth="1"/>
    <col min="4" max="4" width="47.4259259259259" customWidth="1"/>
  </cols>
  <sheetData>
    <row r="2" spans="2:4">
      <c r="B2" s="8" t="s">
        <v>1232</v>
      </c>
      <c r="C2" s="8" t="s">
        <v>1233</v>
      </c>
      <c r="D2" s="8" t="s">
        <v>1234</v>
      </c>
    </row>
    <row r="3" spans="2:4">
      <c r="B3" s="9" t="s">
        <v>1235</v>
      </c>
      <c r="C3" s="9" t="b">
        <v>0</v>
      </c>
      <c r="D3" s="9" t="s">
        <v>1236</v>
      </c>
    </row>
    <row r="4" spans="2:4">
      <c r="B4" s="9" t="s">
        <v>1237</v>
      </c>
      <c r="C4" s="9" t="b">
        <v>1</v>
      </c>
      <c r="D4" s="9" t="s">
        <v>1238</v>
      </c>
    </row>
    <row r="5" spans="2:4">
      <c r="B5" s="9" t="s">
        <v>1239</v>
      </c>
      <c r="C5" s="9" t="s">
        <v>856</v>
      </c>
      <c r="D5" s="9" t="s">
        <v>1240</v>
      </c>
    </row>
    <row r="6" spans="2:4">
      <c r="B6" s="9" t="s">
        <v>1241</v>
      </c>
      <c r="C6" s="9" t="s">
        <v>855</v>
      </c>
      <c r="D6" s="9" t="s">
        <v>1242</v>
      </c>
    </row>
    <row r="7" spans="2:4">
      <c r="B7" s="9" t="s">
        <v>1243</v>
      </c>
      <c r="C7" s="9" t="s">
        <v>1244</v>
      </c>
      <c r="D7" s="9" t="s">
        <v>1245</v>
      </c>
    </row>
    <row r="8" spans="2:4">
      <c r="B8" s="9" t="s">
        <v>1246</v>
      </c>
      <c r="C8" s="9" t="s">
        <v>1247</v>
      </c>
      <c r="D8" s="9" t="s">
        <v>1248</v>
      </c>
    </row>
    <row r="9" spans="2:4">
      <c r="B9" s="9" t="s">
        <v>1249</v>
      </c>
      <c r="C9" s="9" t="s">
        <v>1250</v>
      </c>
      <c r="D9" s="9" t="s">
        <v>1251</v>
      </c>
    </row>
    <row r="10" spans="2:4">
      <c r="B10" s="9" t="s">
        <v>1252</v>
      </c>
      <c r="C10" s="9" t="s">
        <v>1253</v>
      </c>
      <c r="D10" s="9" t="s">
        <v>1254</v>
      </c>
    </row>
    <row r="11" spans="2:4">
      <c r="B11" s="9" t="s">
        <v>1255</v>
      </c>
      <c r="C11" s="9" t="s">
        <v>1256</v>
      </c>
      <c r="D11" s="9" t="s">
        <v>1257</v>
      </c>
    </row>
    <row r="12" spans="2:4">
      <c r="B12" s="9" t="s">
        <v>1258</v>
      </c>
      <c r="C12" s="9" t="s">
        <v>1259</v>
      </c>
      <c r="D12" s="9" t="s">
        <v>1260</v>
      </c>
    </row>
    <row r="13" spans="2:4">
      <c r="B13" s="9" t="s">
        <v>1261</v>
      </c>
      <c r="C13" s="9" t="s">
        <v>1262</v>
      </c>
      <c r="D13" s="9" t="s">
        <v>1263</v>
      </c>
    </row>
    <row r="14" spans="2:4">
      <c r="B14" s="9" t="s">
        <v>1264</v>
      </c>
      <c r="C14" s="9" t="s">
        <v>1265</v>
      </c>
      <c r="D14" s="9" t="s">
        <v>1266</v>
      </c>
    </row>
    <row r="15" spans="2:4">
      <c r="B15" s="9" t="s">
        <v>1267</v>
      </c>
      <c r="C15" s="9" t="s">
        <v>1268</v>
      </c>
      <c r="D15" s="9" t="s">
        <v>1269</v>
      </c>
    </row>
    <row r="16" spans="2:4">
      <c r="B16" s="9" t="s">
        <v>1270</v>
      </c>
      <c r="C16" s="9" t="s">
        <v>1271</v>
      </c>
      <c r="D16" s="9" t="s">
        <v>1272</v>
      </c>
    </row>
    <row r="17" spans="2:4">
      <c r="B17" s="9" t="s">
        <v>1273</v>
      </c>
      <c r="C17" s="9" t="s">
        <v>1274</v>
      </c>
      <c r="D17" s="9" t="s">
        <v>1275</v>
      </c>
    </row>
    <row r="18" spans="2:4">
      <c r="B18" s="9" t="s">
        <v>1276</v>
      </c>
      <c r="C18" s="9" t="s">
        <v>1277</v>
      </c>
      <c r="D18" s="9" t="s">
        <v>1278</v>
      </c>
    </row>
    <row r="19" spans="2:4">
      <c r="B19" s="9" t="s">
        <v>1279</v>
      </c>
      <c r="C19" s="9" t="s">
        <v>1280</v>
      </c>
      <c r="D19" s="9" t="s">
        <v>1281</v>
      </c>
    </row>
    <row r="20" spans="2:4">
      <c r="B20" s="9" t="s">
        <v>1282</v>
      </c>
      <c r="C20" s="9" t="s">
        <v>1283</v>
      </c>
      <c r="D20" s="9" t="s">
        <v>1284</v>
      </c>
    </row>
    <row r="21" spans="2:4">
      <c r="B21" s="9" t="s">
        <v>1285</v>
      </c>
      <c r="C21" s="9" t="s">
        <v>1286</v>
      </c>
      <c r="D21" s="9" t="s">
        <v>1287</v>
      </c>
    </row>
    <row r="22" spans="2:4">
      <c r="B22" s="9" t="s">
        <v>1288</v>
      </c>
      <c r="C22" s="9" t="s">
        <v>1289</v>
      </c>
      <c r="D22" s="9" t="s">
        <v>1290</v>
      </c>
    </row>
    <row r="23" spans="2:4">
      <c r="B23" s="9" t="s">
        <v>1291</v>
      </c>
      <c r="C23" s="9" t="s">
        <v>1292</v>
      </c>
      <c r="D23" s="9" t="s">
        <v>1293</v>
      </c>
    </row>
    <row r="24" spans="2:4">
      <c r="B24" s="9" t="s">
        <v>1294</v>
      </c>
      <c r="C24" s="9" t="s">
        <v>1295</v>
      </c>
      <c r="D24" s="9" t="s">
        <v>1296</v>
      </c>
    </row>
    <row r="25" spans="2:4">
      <c r="B25" s="9" t="s">
        <v>1297</v>
      </c>
      <c r="C25" s="9" t="s">
        <v>1298</v>
      </c>
      <c r="D25" s="9" t="s">
        <v>1299</v>
      </c>
    </row>
    <row r="26" spans="2:4">
      <c r="B26" s="9" t="s">
        <v>1300</v>
      </c>
      <c r="C26" s="9" t="s">
        <v>1301</v>
      </c>
      <c r="D26" s="9" t="s">
        <v>1302</v>
      </c>
    </row>
    <row r="27" spans="2:4">
      <c r="B27" s="9" t="s">
        <v>1303</v>
      </c>
      <c r="C27" s="9" t="s">
        <v>1304</v>
      </c>
      <c r="D27" s="9" t="s">
        <v>1305</v>
      </c>
    </row>
    <row r="28" spans="2:4">
      <c r="B28" s="9" t="s">
        <v>1306</v>
      </c>
      <c r="C28" s="9" t="s">
        <v>1307</v>
      </c>
      <c r="D28" s="9" t="s">
        <v>1308</v>
      </c>
    </row>
    <row r="29" spans="2:4">
      <c r="B29" s="9" t="s">
        <v>1309</v>
      </c>
      <c r="C29" s="9" t="s">
        <v>1310</v>
      </c>
      <c r="D29" s="9" t="s">
        <v>171</v>
      </c>
    </row>
    <row r="30" spans="2:4">
      <c r="B30" s="9" t="s">
        <v>1311</v>
      </c>
      <c r="C30" s="9" t="s">
        <v>1312</v>
      </c>
      <c r="D30" s="9" t="s">
        <v>168</v>
      </c>
    </row>
    <row r="31" spans="2:4">
      <c r="B31" s="9" t="s">
        <v>1313</v>
      </c>
      <c r="C31" s="9" t="s">
        <v>1314</v>
      </c>
      <c r="D31" s="9" t="s">
        <v>169</v>
      </c>
    </row>
    <row r="32" spans="2:4">
      <c r="B32" s="9" t="s">
        <v>1315</v>
      </c>
      <c r="C32" s="9" t="s">
        <v>1316</v>
      </c>
      <c r="D32" s="9" t="s">
        <v>170</v>
      </c>
    </row>
    <row r="33" spans="2:4">
      <c r="B33" s="9" t="s">
        <v>1317</v>
      </c>
      <c r="C33" s="9" t="s">
        <v>1318</v>
      </c>
      <c r="D33" s="9" t="s">
        <v>165</v>
      </c>
    </row>
    <row r="34" spans="2:4">
      <c r="B34" s="9" t="s">
        <v>1319</v>
      </c>
      <c r="C34" s="9" t="s">
        <v>1320</v>
      </c>
      <c r="D34" s="9" t="s">
        <v>1321</v>
      </c>
    </row>
    <row r="35" spans="2:4">
      <c r="B35" s="9" t="s">
        <v>1322</v>
      </c>
      <c r="C35" s="9" t="s">
        <v>1323</v>
      </c>
      <c r="D35" s="9" t="s">
        <v>163</v>
      </c>
    </row>
    <row r="36" spans="2:4">
      <c r="B36" s="9" t="s">
        <v>1324</v>
      </c>
      <c r="C36" s="9" t="s">
        <v>1325</v>
      </c>
      <c r="D36" s="9" t="s">
        <v>175</v>
      </c>
    </row>
    <row r="37" spans="2:4">
      <c r="B37" s="9" t="s">
        <v>1326</v>
      </c>
      <c r="C37" s="9" t="s">
        <v>857</v>
      </c>
      <c r="D37" s="9" t="s">
        <v>1327</v>
      </c>
    </row>
    <row r="38" spans="2:4">
      <c r="B38" s="9" t="s">
        <v>1328</v>
      </c>
      <c r="C38" s="9" t="s">
        <v>859</v>
      </c>
      <c r="D38" s="9" t="s">
        <v>1329</v>
      </c>
    </row>
    <row r="39" spans="2:4">
      <c r="B39" s="9" t="s">
        <v>1330</v>
      </c>
      <c r="C39" s="9" t="s">
        <v>865</v>
      </c>
      <c r="D39" s="9" t="s">
        <v>1331</v>
      </c>
    </row>
    <row r="40" spans="2:4">
      <c r="B40" s="9" t="s">
        <v>1332</v>
      </c>
      <c r="C40" s="9" t="s">
        <v>863</v>
      </c>
      <c r="D40" s="9" t="s">
        <v>1333</v>
      </c>
    </row>
    <row r="41" spans="2:4">
      <c r="B41" s="9" t="s">
        <v>1334</v>
      </c>
      <c r="C41" s="9" t="s">
        <v>861</v>
      </c>
      <c r="D41" s="9" t="s">
        <v>1335</v>
      </c>
    </row>
    <row r="42" spans="2:4">
      <c r="B42" s="9" t="s">
        <v>1336</v>
      </c>
      <c r="C42" s="9" t="s">
        <v>842</v>
      </c>
      <c r="D42" s="9" t="s">
        <v>1337</v>
      </c>
    </row>
    <row r="43" spans="2:4">
      <c r="B43" s="9" t="s">
        <v>1338</v>
      </c>
      <c r="C43" s="9" t="s">
        <v>845</v>
      </c>
      <c r="D43" s="9" t="s">
        <v>1339</v>
      </c>
    </row>
    <row r="44" spans="2:4">
      <c r="B44" s="9" t="s">
        <v>1340</v>
      </c>
      <c r="C44" s="9" t="s">
        <v>847</v>
      </c>
      <c r="D44" s="9" t="s">
        <v>1341</v>
      </c>
    </row>
    <row r="45" spans="2:4">
      <c r="B45" s="9" t="s">
        <v>1342</v>
      </c>
      <c r="C45" s="9" t="s">
        <v>849</v>
      </c>
      <c r="D45" s="9" t="s">
        <v>1343</v>
      </c>
    </row>
    <row r="46" spans="2:4">
      <c r="B46" s="9" t="s">
        <v>1344</v>
      </c>
      <c r="C46" s="9" t="s">
        <v>1345</v>
      </c>
      <c r="D46" s="9" t="s">
        <v>1346</v>
      </c>
    </row>
    <row r="47" spans="2:4">
      <c r="B47" s="9" t="s">
        <v>1347</v>
      </c>
      <c r="C47" s="9" t="s">
        <v>1016</v>
      </c>
      <c r="D47" s="9" t="s">
        <v>1348</v>
      </c>
    </row>
    <row r="48" spans="2:4">
      <c r="B48" s="9" t="s">
        <v>1349</v>
      </c>
      <c r="C48" s="9" t="s">
        <v>1350</v>
      </c>
      <c r="D48" s="9" t="s">
        <v>1351</v>
      </c>
    </row>
    <row r="49" spans="2:4">
      <c r="B49" s="9" t="s">
        <v>1352</v>
      </c>
      <c r="C49" s="9" t="s">
        <v>1353</v>
      </c>
      <c r="D49" s="9" t="s">
        <v>1354</v>
      </c>
    </row>
    <row r="50" spans="2:4">
      <c r="B50" s="9" t="s">
        <v>1355</v>
      </c>
      <c r="C50" s="9" t="s">
        <v>1356</v>
      </c>
      <c r="D50" s="9" t="s">
        <v>1357</v>
      </c>
    </row>
    <row r="51" spans="2:4">
      <c r="B51" s="9" t="s">
        <v>1358</v>
      </c>
      <c r="C51" s="9" t="s">
        <v>1359</v>
      </c>
      <c r="D51" s="9" t="s">
        <v>1360</v>
      </c>
    </row>
    <row r="52" spans="2:4">
      <c r="B52" s="9" t="s">
        <v>1361</v>
      </c>
      <c r="C52" s="9" t="s">
        <v>853</v>
      </c>
      <c r="D52" s="9" t="s">
        <v>1362</v>
      </c>
    </row>
    <row r="53" spans="2:4">
      <c r="B53" s="9" t="s">
        <v>1363</v>
      </c>
      <c r="C53" s="9" t="s">
        <v>1364</v>
      </c>
      <c r="D53" s="9" t="s">
        <v>1365</v>
      </c>
    </row>
    <row r="54" spans="2:4">
      <c r="B54" s="9" t="s">
        <v>1366</v>
      </c>
      <c r="C54" s="9" t="s">
        <v>1367</v>
      </c>
      <c r="D54" s="9" t="s">
        <v>1368</v>
      </c>
    </row>
    <row r="55" spans="2:4">
      <c r="B55" s="9" t="s">
        <v>1369</v>
      </c>
      <c r="C55" s="9" t="s">
        <v>1370</v>
      </c>
      <c r="D55" s="9" t="s">
        <v>1371</v>
      </c>
    </row>
    <row r="56" spans="2:4">
      <c r="B56" s="9" t="s">
        <v>1372</v>
      </c>
      <c r="C56" s="9" t="s">
        <v>851</v>
      </c>
      <c r="D56" s="9" t="s">
        <v>1373</v>
      </c>
    </row>
    <row r="57" spans="2:4">
      <c r="B57" s="9" t="s">
        <v>1374</v>
      </c>
      <c r="C57" s="9" t="s">
        <v>879</v>
      </c>
      <c r="D57" s="9" t="s">
        <v>1375</v>
      </c>
    </row>
    <row r="58" spans="2:4">
      <c r="B58" s="9" t="s">
        <v>1376</v>
      </c>
      <c r="C58" s="9" t="s">
        <v>1377</v>
      </c>
      <c r="D58" s="9" t="s">
        <v>1378</v>
      </c>
    </row>
    <row r="59" spans="2:4">
      <c r="B59" s="9" t="s">
        <v>1379</v>
      </c>
      <c r="C59" s="9" t="s">
        <v>1380</v>
      </c>
      <c r="D59" s="9" t="s">
        <v>1381</v>
      </c>
    </row>
    <row r="60" spans="2:4">
      <c r="B60" s="9" t="s">
        <v>1382</v>
      </c>
      <c r="C60" s="9" t="s">
        <v>1383</v>
      </c>
      <c r="D60" s="9" t="s">
        <v>1384</v>
      </c>
    </row>
    <row r="61" spans="2:4">
      <c r="B61" s="9" t="s">
        <v>1385</v>
      </c>
      <c r="C61" s="9" t="s">
        <v>1386</v>
      </c>
      <c r="D61" s="9" t="s">
        <v>1387</v>
      </c>
    </row>
    <row r="62" spans="2:4">
      <c r="B62" s="9" t="s">
        <v>1388</v>
      </c>
      <c r="C62" s="9" t="s">
        <v>1389</v>
      </c>
      <c r="D62" s="9" t="s">
        <v>1390</v>
      </c>
    </row>
    <row r="63" spans="2:4">
      <c r="B63" s="9" t="s">
        <v>1391</v>
      </c>
      <c r="C63" s="9" t="s">
        <v>1392</v>
      </c>
      <c r="D63" s="9" t="s">
        <v>1393</v>
      </c>
    </row>
    <row r="64" spans="2:4">
      <c r="B64" s="9" t="s">
        <v>1394</v>
      </c>
      <c r="C64" s="9" t="s">
        <v>1395</v>
      </c>
      <c r="D64" s="9" t="s">
        <v>1396</v>
      </c>
    </row>
    <row r="65" spans="2:4">
      <c r="B65" s="9" t="s">
        <v>1397</v>
      </c>
      <c r="C65" s="9" t="s">
        <v>1398</v>
      </c>
      <c r="D65" s="9" t="s">
        <v>1399</v>
      </c>
    </row>
    <row r="66" spans="2:4">
      <c r="B66" s="9" t="s">
        <v>1400</v>
      </c>
      <c r="C66" s="9" t="s">
        <v>1401</v>
      </c>
      <c r="D66" s="9" t="s">
        <v>1402</v>
      </c>
    </row>
    <row r="67" spans="2:4">
      <c r="B67" s="9" t="s">
        <v>1403</v>
      </c>
      <c r="C67" s="9" t="s">
        <v>1404</v>
      </c>
      <c r="D67" s="9" t="s">
        <v>1405</v>
      </c>
    </row>
    <row r="68" spans="2:4">
      <c r="B68" s="9" t="s">
        <v>1406</v>
      </c>
      <c r="C68" s="9" t="s">
        <v>1407</v>
      </c>
      <c r="D68" s="9" t="s">
        <v>1408</v>
      </c>
    </row>
    <row r="69" spans="2:4">
      <c r="B69" s="10" t="s">
        <v>1409</v>
      </c>
      <c r="C69" s="11" t="s">
        <v>1410</v>
      </c>
      <c r="D69" s="12" t="s">
        <v>1411</v>
      </c>
    </row>
    <row r="70" spans="2:4">
      <c r="B70" s="9" t="s">
        <v>1412</v>
      </c>
      <c r="C70" s="9" t="s">
        <v>1413</v>
      </c>
      <c r="D70" s="9" t="s">
        <v>1414</v>
      </c>
    </row>
    <row r="71" spans="2:4">
      <c r="B71" s="9" t="s">
        <v>1415</v>
      </c>
      <c r="C71" s="9" t="s">
        <v>1416</v>
      </c>
      <c r="D71" s="9" t="s">
        <v>1417</v>
      </c>
    </row>
    <row r="72" spans="2:4">
      <c r="B72" s="9" t="s">
        <v>1418</v>
      </c>
      <c r="C72" s="9" t="s">
        <v>1419</v>
      </c>
      <c r="D72" s="9" t="s">
        <v>1420</v>
      </c>
    </row>
    <row r="73" spans="2:4">
      <c r="B73" s="9" t="s">
        <v>1421</v>
      </c>
      <c r="C73" s="9" t="s">
        <v>1422</v>
      </c>
      <c r="D73" s="9" t="s">
        <v>1423</v>
      </c>
    </row>
    <row r="74" spans="2:4">
      <c r="B74" s="9" t="s">
        <v>1424</v>
      </c>
      <c r="C74" s="9" t="s">
        <v>1425</v>
      </c>
      <c r="D74" s="9" t="s">
        <v>1426</v>
      </c>
    </row>
    <row r="75" spans="2:4">
      <c r="B75" s="9" t="s">
        <v>1427</v>
      </c>
      <c r="C75" s="9" t="s">
        <v>1428</v>
      </c>
      <c r="D75" s="9" t="s">
        <v>1429</v>
      </c>
    </row>
    <row r="76" spans="2:4">
      <c r="B76" s="9" t="s">
        <v>1430</v>
      </c>
      <c r="C76" s="9" t="s">
        <v>1431</v>
      </c>
      <c r="D76" s="9" t="s">
        <v>1432</v>
      </c>
    </row>
    <row r="77" spans="2:4">
      <c r="B77" s="9" t="s">
        <v>1433</v>
      </c>
      <c r="C77" s="9" t="s">
        <v>867</v>
      </c>
      <c r="D77" s="9" t="s">
        <v>1434</v>
      </c>
    </row>
  </sheetData>
  <pageMargins left="0.7" right="0.7" top="0.75" bottom="0.75" header="0.3" footer="0.3"/>
  <headerFooter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B2:F25"/>
  <sheetViews>
    <sheetView workbookViewId="0">
      <selection activeCell="B3" sqref="B3:B25"/>
    </sheetView>
  </sheetViews>
  <sheetFormatPr defaultColWidth="9" defaultRowHeight="14.4" outlineLevelCol="5"/>
  <cols>
    <col min="1" max="1" width="3.28703703703704" customWidth="1"/>
    <col min="2" max="2" width="10.712962962963" customWidth="1"/>
    <col min="3" max="3" width="59.8518518518519" customWidth="1"/>
  </cols>
  <sheetData>
    <row r="2" spans="2:3">
      <c r="B2" s="5" t="s">
        <v>1435</v>
      </c>
      <c r="C2" s="5" t="s">
        <v>344</v>
      </c>
    </row>
    <row r="3" spans="2:3">
      <c r="B3" s="6" t="s">
        <v>357</v>
      </c>
      <c r="C3" s="7" t="s">
        <v>1436</v>
      </c>
    </row>
    <row r="4" spans="2:3">
      <c r="B4" s="6" t="s">
        <v>380</v>
      </c>
      <c r="C4" s="7" t="s">
        <v>1437</v>
      </c>
    </row>
    <row r="5" spans="2:3">
      <c r="B5" s="6" t="s">
        <v>1438</v>
      </c>
      <c r="C5" s="7" t="s">
        <v>1439</v>
      </c>
    </row>
    <row r="6" spans="2:3">
      <c r="B6" s="6" t="s">
        <v>1440</v>
      </c>
      <c r="C6" s="7" t="s">
        <v>1441</v>
      </c>
    </row>
    <row r="7" spans="2:3">
      <c r="B7" s="6" t="s">
        <v>1442</v>
      </c>
      <c r="C7" s="7" t="s">
        <v>1443</v>
      </c>
    </row>
    <row r="8" spans="2:3">
      <c r="B8" s="6" t="s">
        <v>1444</v>
      </c>
      <c r="C8" s="7" t="s">
        <v>1445</v>
      </c>
    </row>
    <row r="9" spans="2:3">
      <c r="B9" s="6" t="s">
        <v>1446</v>
      </c>
      <c r="C9" s="7" t="s">
        <v>1447</v>
      </c>
    </row>
    <row r="10" spans="2:3">
      <c r="B10" s="6" t="s">
        <v>1448</v>
      </c>
      <c r="C10" s="7" t="s">
        <v>1449</v>
      </c>
    </row>
    <row r="11" spans="2:3">
      <c r="B11" s="6" t="s">
        <v>1450</v>
      </c>
      <c r="C11" s="7" t="s">
        <v>1451</v>
      </c>
    </row>
    <row r="12" spans="2:3">
      <c r="B12" s="6" t="s">
        <v>1452</v>
      </c>
      <c r="C12" s="7" t="s">
        <v>1453</v>
      </c>
    </row>
    <row r="13" spans="2:3">
      <c r="B13" s="6" t="s">
        <v>348</v>
      </c>
      <c r="C13" s="7" t="s">
        <v>1454</v>
      </c>
    </row>
    <row r="14" spans="2:3">
      <c r="B14" s="6" t="s">
        <v>1455</v>
      </c>
      <c r="C14" s="7" t="s">
        <v>1456</v>
      </c>
    </row>
    <row r="15" spans="2:3">
      <c r="B15" s="6" t="s">
        <v>1457</v>
      </c>
      <c r="C15" s="7" t="s">
        <v>1458</v>
      </c>
    </row>
    <row r="16" spans="2:3">
      <c r="B16" s="6" t="s">
        <v>1459</v>
      </c>
      <c r="C16" s="7" t="s">
        <v>1460</v>
      </c>
    </row>
    <row r="17" spans="2:3">
      <c r="B17" s="6" t="s">
        <v>1461</v>
      </c>
      <c r="C17" s="7" t="s">
        <v>1462</v>
      </c>
    </row>
    <row r="18" spans="2:3">
      <c r="B18" s="6" t="s">
        <v>1463</v>
      </c>
      <c r="C18" s="7" t="s">
        <v>1464</v>
      </c>
    </row>
    <row r="19" spans="2:3">
      <c r="B19" s="6" t="s">
        <v>1465</v>
      </c>
      <c r="C19" s="7" t="s">
        <v>1466</v>
      </c>
    </row>
    <row r="20" spans="2:3">
      <c r="B20" s="6" t="s">
        <v>1467</v>
      </c>
      <c r="C20" s="7" t="s">
        <v>1468</v>
      </c>
    </row>
    <row r="21" spans="2:3">
      <c r="B21" s="6" t="s">
        <v>584</v>
      </c>
      <c r="C21" s="7" t="s">
        <v>1469</v>
      </c>
    </row>
    <row r="22" spans="2:3">
      <c r="B22" s="6" t="s">
        <v>1470</v>
      </c>
      <c r="C22" s="7" t="s">
        <v>1471</v>
      </c>
    </row>
    <row r="23" spans="2:3">
      <c r="B23" s="6" t="s">
        <v>1472</v>
      </c>
      <c r="C23" s="7" t="s">
        <v>1473</v>
      </c>
    </row>
    <row r="24" spans="2:6">
      <c r="B24" s="6" t="s">
        <v>1474</v>
      </c>
      <c r="C24" s="7" t="s">
        <v>1475</v>
      </c>
      <c r="F24" t="s">
        <v>1476</v>
      </c>
    </row>
    <row r="25" spans="2:3">
      <c r="B25" s="6" t="s">
        <v>1477</v>
      </c>
      <c r="C25" s="7" t="s">
        <v>1478</v>
      </c>
    </row>
  </sheetData>
  <pageMargins left="0.7" right="0.7" top="0.75" bottom="0.75" header="0.3" footer="0.3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B2:D24"/>
  <sheetViews>
    <sheetView workbookViewId="0">
      <selection activeCell="D16" sqref="D16"/>
    </sheetView>
  </sheetViews>
  <sheetFormatPr defaultColWidth="9" defaultRowHeight="14.4" outlineLevelCol="3"/>
  <cols>
    <col min="1" max="1" width="3.42592592592593" customWidth="1"/>
    <col min="2" max="2" width="7.28703703703704" customWidth="1"/>
    <col min="3" max="3" width="10.712962962963" customWidth="1"/>
    <col min="4" max="4" width="47.8518518518519" customWidth="1"/>
  </cols>
  <sheetData>
    <row r="2" spans="2:4">
      <c r="B2" s="1" t="s">
        <v>1479</v>
      </c>
      <c r="C2" s="1" t="s">
        <v>1480</v>
      </c>
      <c r="D2" s="1" t="s">
        <v>1481</v>
      </c>
    </row>
    <row r="3" spans="2:4">
      <c r="B3" s="2">
        <v>0.1</v>
      </c>
      <c r="C3" s="3">
        <v>44886</v>
      </c>
      <c r="D3" s="4" t="s">
        <v>1482</v>
      </c>
    </row>
    <row r="4" spans="2:4">
      <c r="B4" s="2">
        <v>0.2</v>
      </c>
      <c r="C4" s="3">
        <v>44937</v>
      </c>
      <c r="D4" s="4" t="s">
        <v>1483</v>
      </c>
    </row>
    <row r="5" spans="2:4">
      <c r="B5" s="2">
        <v>0.3</v>
      </c>
      <c r="C5" s="3">
        <v>44946</v>
      </c>
      <c r="D5" s="4" t="s">
        <v>1484</v>
      </c>
    </row>
    <row r="6" spans="2:4">
      <c r="B6" s="2">
        <v>0.4</v>
      </c>
      <c r="C6" s="3">
        <v>44951</v>
      </c>
      <c r="D6" s="4" t="s">
        <v>1485</v>
      </c>
    </row>
    <row r="7" ht="43.2" spans="2:4">
      <c r="B7" s="2">
        <v>0.5</v>
      </c>
      <c r="C7" s="3">
        <v>44979</v>
      </c>
      <c r="D7" s="4" t="s">
        <v>1486</v>
      </c>
    </row>
    <row r="8" ht="28.8" spans="2:4">
      <c r="B8" s="2">
        <v>0.6</v>
      </c>
      <c r="C8" s="3">
        <v>44985</v>
      </c>
      <c r="D8" s="4" t="s">
        <v>1487</v>
      </c>
    </row>
    <row r="9" ht="57.6" spans="2:4">
      <c r="B9" s="2">
        <v>0.7</v>
      </c>
      <c r="C9" s="3">
        <v>44986</v>
      </c>
      <c r="D9" s="4" t="s">
        <v>1488</v>
      </c>
    </row>
    <row r="10" ht="87.75" customHeight="1" spans="2:4">
      <c r="B10" s="2">
        <v>0.8</v>
      </c>
      <c r="C10" s="3">
        <v>45007</v>
      </c>
      <c r="D10" s="4" t="s">
        <v>1489</v>
      </c>
    </row>
    <row r="11" spans="2:4">
      <c r="B11" s="2">
        <v>0.9</v>
      </c>
      <c r="C11" s="3">
        <v>45007</v>
      </c>
      <c r="D11" s="4" t="s">
        <v>1490</v>
      </c>
    </row>
    <row r="12" spans="2:4">
      <c r="B12" s="2">
        <v>1</v>
      </c>
      <c r="C12" s="3">
        <v>45012</v>
      </c>
      <c r="D12" s="4" t="s">
        <v>1491</v>
      </c>
    </row>
    <row r="13" ht="64.5" customHeight="1" spans="2:4">
      <c r="B13" s="2">
        <v>1.1</v>
      </c>
      <c r="C13" s="3">
        <v>45020</v>
      </c>
      <c r="D13" s="4" t="s">
        <v>1492</v>
      </c>
    </row>
    <row r="14" spans="2:4">
      <c r="B14" s="2">
        <v>1.2</v>
      </c>
      <c r="C14" s="3">
        <v>45022</v>
      </c>
      <c r="D14" s="4" t="s">
        <v>1493</v>
      </c>
    </row>
    <row r="15" ht="28.8" spans="2:4">
      <c r="B15" s="2">
        <v>1.3</v>
      </c>
      <c r="C15" s="3">
        <v>45026</v>
      </c>
      <c r="D15" s="4" t="s">
        <v>1494</v>
      </c>
    </row>
    <row r="16" spans="2:4">
      <c r="B16" s="2"/>
      <c r="C16" s="3"/>
      <c r="D16" s="4"/>
    </row>
    <row r="17" spans="2:4">
      <c r="B17" s="2"/>
      <c r="C17" s="3"/>
      <c r="D17" s="4"/>
    </row>
    <row r="18" spans="2:4">
      <c r="B18" s="2"/>
      <c r="C18" s="3"/>
      <c r="D18" s="4"/>
    </row>
    <row r="19" spans="2:4">
      <c r="B19" s="2"/>
      <c r="C19" s="3"/>
      <c r="D19" s="4"/>
    </row>
    <row r="20" spans="2:4">
      <c r="B20" s="2"/>
      <c r="C20" s="3"/>
      <c r="D20" s="4"/>
    </row>
    <row r="21" spans="2:4">
      <c r="B21" s="2"/>
      <c r="C21" s="3"/>
      <c r="D21" s="4"/>
    </row>
    <row r="22" spans="2:4">
      <c r="B22" s="2"/>
      <c r="C22" s="3"/>
      <c r="D22" s="4"/>
    </row>
    <row r="23" spans="2:4">
      <c r="B23" s="2"/>
      <c r="C23" s="3"/>
      <c r="D23" s="4"/>
    </row>
    <row r="24" spans="2:4">
      <c r="B24" s="2"/>
      <c r="C24" s="3"/>
      <c r="D24" s="4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config</vt:lpstr>
      <vt:lpstr>OTP Map</vt:lpstr>
      <vt:lpstr>For DE</vt:lpstr>
      <vt:lpstr>Summary</vt:lpstr>
      <vt:lpstr>Instructions</vt:lpstr>
      <vt:lpstr>OTP</vt:lpstr>
      <vt:lpstr>Address Map</vt:lpstr>
      <vt:lpstr>Registers</vt:lpstr>
      <vt:lpstr>Volatile</vt:lpstr>
      <vt:lpstr>Shadow</vt:lpstr>
      <vt:lpstr>Digital Test Mux</vt:lpstr>
      <vt:lpstr>Constants</vt:lpstr>
      <vt:lpstr>Version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Macomber</dc:creator>
  <cp:lastModifiedBy>Admin</cp:lastModifiedBy>
  <dcterms:created xsi:type="dcterms:W3CDTF">2015-06-05T18:17:00Z</dcterms:created>
  <dcterms:modified xsi:type="dcterms:W3CDTF">2023-09-16T08:59:20Z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E947F87C5FB54CE8BC7DA136E5F2EE57_12</vt:lpwstr>
  </property>
  <property fmtid="{D5CDD505-2E9C-101B-9397-08002B2CF9AE}" pid="3" name="KSOProductBuildVer">
    <vt:lpwstr>1033-12.2.0.13201</vt:lpwstr>
  </property>
</Properties>
</file>